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sa.masadeh\Desktop\"/>
    </mc:Choice>
  </mc:AlternateContent>
  <xr:revisionPtr revIDLastSave="0" documentId="13_ncr:1_{C7318D51-277D-47D5-9E01-B076EE9E61B2}" xr6:coauthVersionLast="47" xr6:coauthVersionMax="47" xr10:uidLastSave="{00000000-0000-0000-0000-000000000000}"/>
  <bookViews>
    <workbookView xWindow="-120" yWindow="-120" windowWidth="29040" windowHeight="15720" xr2:uid="{E8CD90CA-FF41-48E3-BB68-85F78ABEE109}"/>
  </bookViews>
  <sheets>
    <sheet name="28-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2" l="1"/>
  <c r="G16" i="2"/>
  <c r="G17" i="2"/>
  <c r="G18" i="2"/>
  <c r="G19" i="2"/>
  <c r="G20" i="2"/>
  <c r="G21" i="2"/>
  <c r="G22" i="2"/>
  <c r="G23" i="2"/>
  <c r="G24" i="2"/>
  <c r="G25" i="2"/>
  <c r="G26" i="2"/>
  <c r="G27" i="2"/>
  <c r="G14" i="2"/>
  <c r="G31" i="2" l="1"/>
</calcChain>
</file>

<file path=xl/sharedStrings.xml><?xml version="1.0" encoding="utf-8"?>
<sst xmlns="http://schemas.openxmlformats.org/spreadsheetml/2006/main" count="93" uniqueCount="44">
  <si>
    <t>Machine Name</t>
  </si>
  <si>
    <t>Stoppage Start Time</t>
  </si>
  <si>
    <t>Stoppage End Time</t>
  </si>
  <si>
    <t>SKU</t>
  </si>
  <si>
    <t xml:space="preserve">Stoppage Category </t>
  </si>
  <si>
    <t>Packaging Material Shortage</t>
  </si>
  <si>
    <t>Powder Shortage</t>
  </si>
  <si>
    <t xml:space="preserve">Stoppage Description </t>
  </si>
  <si>
    <t>Betti Filling</t>
  </si>
  <si>
    <t xml:space="preserve">Mechanical </t>
  </si>
  <si>
    <t>Glue Leakage</t>
  </si>
  <si>
    <t xml:space="preserve">Glue Removal </t>
  </si>
  <si>
    <t>Lunch Break</t>
  </si>
  <si>
    <t xml:space="preserve">No powder </t>
  </si>
  <si>
    <t>Stoppage Duration</t>
  </si>
  <si>
    <t>Total Stoppage Duration</t>
  </si>
  <si>
    <t xml:space="preserve">Rollers Conveyor Cleaning </t>
  </si>
  <si>
    <t>Machine Synchronization</t>
  </si>
  <si>
    <t>Startup</t>
  </si>
  <si>
    <t>Break</t>
  </si>
  <si>
    <t xml:space="preserve">Outer Carton </t>
  </si>
  <si>
    <t>Kg</t>
  </si>
  <si>
    <t>Piece</t>
  </si>
  <si>
    <t>Powder</t>
  </si>
  <si>
    <t>Cartomac</t>
  </si>
  <si>
    <t>Betti Prodcution Line</t>
  </si>
  <si>
    <t>Waste</t>
  </si>
  <si>
    <t>Alwatani 6 x 2KG (Violet) HF</t>
  </si>
  <si>
    <t>Packaging defected - Dulpex (Inner Carton)</t>
  </si>
  <si>
    <t>Inner Carton (Dulpex)</t>
  </si>
  <si>
    <t>Product</t>
  </si>
  <si>
    <t>Production Start Time</t>
  </si>
  <si>
    <t xml:space="preserve">Production End Time </t>
  </si>
  <si>
    <t>BETTI Production Line - Stoppages &amp; Waste Log</t>
  </si>
  <si>
    <t>Date</t>
  </si>
  <si>
    <t>28/7/2026</t>
  </si>
  <si>
    <t>FG Pallet</t>
  </si>
  <si>
    <t>Big Betti</t>
  </si>
  <si>
    <t>No Pallet at Euro-Pack Robot</t>
  </si>
  <si>
    <t>Euro-Pack Robot + Uni-tech Wrapping</t>
  </si>
  <si>
    <t>Quantity produced</t>
  </si>
  <si>
    <t>Minute</t>
  </si>
  <si>
    <t>Open Dulpex - Guide Adjustment</t>
  </si>
  <si>
    <t>Machine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</si>
</sst>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7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8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2E68-9F8A-49B9-90EB-92DBC9A929AF}">
  <dimension ref="B2:J36"/>
  <sheetViews>
    <sheetView showGridLines="0" tabSelected="1" zoomScaleNormal="100" workbookViewId="0">
      <selection activeCell="H7" sqref="H7"/>
    </sheetView>
  </sheetViews>
  <sheetFormatPr defaultColWidth="8.7109375" defaultRowHeight="15" x14ac:dyDescent="0.25"/>
  <cols>
    <col min="1" max="1" width="3.5703125" customWidth="1"/>
    <col min="2" max="2" width="3.7109375" customWidth="1"/>
    <col min="3" max="3" width="20.42578125" bestFit="1" customWidth="1"/>
    <col min="4" max="4" width="25.28515625" bestFit="1" customWidth="1"/>
    <col min="5" max="5" width="19.28515625" bestFit="1" customWidth="1"/>
    <col min="6" max="6" width="23" bestFit="1" customWidth="1"/>
    <col min="7" max="7" width="18" bestFit="1" customWidth="1"/>
    <col min="8" max="8" width="26.5703125" bestFit="1" customWidth="1"/>
    <col min="9" max="9" width="38.85546875" bestFit="1" customWidth="1"/>
    <col min="10" max="10" width="1.85546875" bestFit="1" customWidth="1"/>
    <col min="11" max="11" width="23.140625" customWidth="1"/>
  </cols>
  <sheetData>
    <row r="2" spans="2:10" s="5" customFormat="1" x14ac:dyDescent="0.25">
      <c r="C2" s="34" t="s">
        <v>33</v>
      </c>
      <c r="D2" s="34"/>
      <c r="E2" s="34"/>
      <c r="F2" s="34"/>
      <c r="G2" s="34"/>
      <c r="H2" s="34"/>
      <c r="I2" s="34"/>
      <c r="J2" s="34"/>
    </row>
    <row r="3" spans="2:10" s="5" customFormat="1" x14ac:dyDescent="0.25">
      <c r="C3" s="34"/>
      <c r="D3" s="34"/>
      <c r="E3" s="34"/>
      <c r="F3" s="34"/>
      <c r="G3" s="34"/>
      <c r="H3" s="34"/>
      <c r="I3" s="34"/>
      <c r="J3" s="34"/>
    </row>
    <row r="4" spans="2:10" s="5" customFormat="1" ht="21" x14ac:dyDescent="0.25">
      <c r="C4" s="33"/>
      <c r="D4" s="33"/>
      <c r="E4" s="33"/>
      <c r="F4" s="33"/>
      <c r="G4" s="33"/>
      <c r="H4" s="33"/>
      <c r="I4" s="33"/>
      <c r="J4" s="33"/>
    </row>
    <row r="5" spans="2:10" s="5" customFormat="1" x14ac:dyDescent="0.25">
      <c r="C5" s="11" t="s">
        <v>34</v>
      </c>
      <c r="D5" s="11" t="s">
        <v>35</v>
      </c>
      <c r="E5" s="9"/>
      <c r="F5" s="9"/>
      <c r="G5" s="9"/>
      <c r="H5" s="9"/>
      <c r="I5" s="9"/>
      <c r="J5" s="9"/>
    </row>
    <row r="6" spans="2:10" s="5" customFormat="1" x14ac:dyDescent="0.25">
      <c r="C6" s="30" t="s">
        <v>30</v>
      </c>
      <c r="D6" s="30" t="s">
        <v>27</v>
      </c>
      <c r="E6" s="9"/>
      <c r="F6" s="9"/>
      <c r="G6" s="9"/>
      <c r="H6" s="9"/>
      <c r="I6" s="9"/>
      <c r="J6" s="9"/>
    </row>
    <row r="7" spans="2:10" s="5" customFormat="1" x14ac:dyDescent="0.25">
      <c r="C7" s="30" t="s">
        <v>31</v>
      </c>
      <c r="D7" s="31">
        <v>0.33333333333333331</v>
      </c>
      <c r="E7" s="9"/>
      <c r="F7" s="9"/>
      <c r="G7" s="9"/>
      <c r="H7" s="9"/>
      <c r="I7" s="9"/>
      <c r="J7" s="9"/>
    </row>
    <row r="8" spans="2:10" s="5" customFormat="1" x14ac:dyDescent="0.25">
      <c r="C8" s="30" t="s">
        <v>32</v>
      </c>
      <c r="D8" s="31">
        <v>0.6875</v>
      </c>
      <c r="E8" s="12"/>
      <c r="F8" s="12"/>
      <c r="G8" s="12"/>
      <c r="H8" s="9"/>
      <c r="I8" s="9"/>
      <c r="J8" s="9"/>
    </row>
    <row r="9" spans="2:10" s="5" customFormat="1" x14ac:dyDescent="0.25">
      <c r="B9" s="32" t="s">
        <v>40</v>
      </c>
      <c r="C9" s="30" t="s">
        <v>29</v>
      </c>
      <c r="D9" s="30">
        <v>6720</v>
      </c>
      <c r="E9" s="11" t="s">
        <v>22</v>
      </c>
      <c r="F9" s="15" t="s">
        <v>8</v>
      </c>
      <c r="G9" s="15"/>
      <c r="H9" s="9"/>
      <c r="I9" s="9"/>
      <c r="J9" s="9"/>
    </row>
    <row r="10" spans="2:10" s="5" customFormat="1" x14ac:dyDescent="0.25">
      <c r="B10" s="32"/>
      <c r="C10" s="30" t="s">
        <v>20</v>
      </c>
      <c r="D10" s="30">
        <v>1120</v>
      </c>
      <c r="E10" s="11" t="s">
        <v>22</v>
      </c>
      <c r="F10" s="15" t="s">
        <v>24</v>
      </c>
      <c r="G10" s="15"/>
      <c r="H10" s="9"/>
      <c r="I10" s="9"/>
      <c r="J10" s="9"/>
    </row>
    <row r="11" spans="2:10" s="5" customFormat="1" x14ac:dyDescent="0.25">
      <c r="B11" s="32"/>
      <c r="C11" s="30" t="s">
        <v>36</v>
      </c>
      <c r="D11" s="30">
        <v>28</v>
      </c>
      <c r="E11" s="11" t="s">
        <v>22</v>
      </c>
      <c r="F11" s="15" t="s">
        <v>39</v>
      </c>
      <c r="G11" s="15"/>
      <c r="H11" s="9"/>
      <c r="I11" s="9"/>
      <c r="J11" s="9"/>
    </row>
    <row r="12" spans="2:10" s="5" customFormat="1" x14ac:dyDescent="0.25">
      <c r="E12" s="9"/>
      <c r="F12" s="9"/>
      <c r="G12" s="9"/>
      <c r="H12" s="9"/>
      <c r="I12" s="9"/>
      <c r="J12" s="9"/>
    </row>
    <row r="13" spans="2:10" x14ac:dyDescent="0.25">
      <c r="C13" s="11" t="s">
        <v>0</v>
      </c>
      <c r="D13" s="11" t="s">
        <v>3</v>
      </c>
      <c r="E13" s="11" t="s">
        <v>1</v>
      </c>
      <c r="F13" s="11" t="s">
        <v>2</v>
      </c>
      <c r="G13" s="11" t="s">
        <v>14</v>
      </c>
      <c r="H13" s="11" t="s">
        <v>4</v>
      </c>
      <c r="I13" s="11" t="s">
        <v>7</v>
      </c>
      <c r="J13" s="1"/>
    </row>
    <row r="14" spans="2:10" x14ac:dyDescent="0.25">
      <c r="B14" s="2">
        <v>1</v>
      </c>
      <c r="C14" s="2" t="s">
        <v>37</v>
      </c>
      <c r="D14" s="2" t="s">
        <v>27</v>
      </c>
      <c r="E14" s="3">
        <v>0.33333333333333331</v>
      </c>
      <c r="F14" s="3">
        <v>0.40625</v>
      </c>
      <c r="G14" s="4">
        <f>(F14-E14)*1440</f>
        <v>105.00000000000003</v>
      </c>
      <c r="H14" s="2" t="s">
        <v>9</v>
      </c>
      <c r="I14" s="2" t="s">
        <v>17</v>
      </c>
      <c r="J14" s="1"/>
    </row>
    <row r="15" spans="2:10" x14ac:dyDescent="0.25">
      <c r="B15" s="2">
        <v>2</v>
      </c>
      <c r="C15" s="2" t="s">
        <v>37</v>
      </c>
      <c r="D15" s="2" t="s">
        <v>27</v>
      </c>
      <c r="E15" s="3">
        <v>0.40972222222222221</v>
      </c>
      <c r="F15" s="3">
        <v>0.44444444444444442</v>
      </c>
      <c r="G15" s="4">
        <f t="shared" ref="G15:G27" si="0">(F15-E15)*1440</f>
        <v>49.999999999999986</v>
      </c>
      <c r="H15" s="2" t="s">
        <v>18</v>
      </c>
      <c r="I15" s="2" t="s">
        <v>43</v>
      </c>
      <c r="J15" s="1"/>
    </row>
    <row r="16" spans="2:10" x14ac:dyDescent="0.25">
      <c r="B16" s="2">
        <v>3</v>
      </c>
      <c r="C16" s="2" t="s">
        <v>37</v>
      </c>
      <c r="D16" s="2" t="s">
        <v>27</v>
      </c>
      <c r="E16" s="3">
        <v>0.47222222222222221</v>
      </c>
      <c r="F16" s="3">
        <v>0.48402777777777778</v>
      </c>
      <c r="G16" s="4">
        <f t="shared" si="0"/>
        <v>17.000000000000021</v>
      </c>
      <c r="H16" s="2" t="s">
        <v>9</v>
      </c>
      <c r="I16" s="2" t="s">
        <v>10</v>
      </c>
      <c r="J16" s="1"/>
    </row>
    <row r="17" spans="2:10" x14ac:dyDescent="0.25">
      <c r="B17" s="2">
        <v>4</v>
      </c>
      <c r="C17" s="2" t="s">
        <v>37</v>
      </c>
      <c r="D17" s="2" t="s">
        <v>27</v>
      </c>
      <c r="E17" s="3">
        <v>0.4861111111111111</v>
      </c>
      <c r="F17" s="3">
        <v>0.48749999999999999</v>
      </c>
      <c r="G17" s="4">
        <f t="shared" si="0"/>
        <v>1.9999999999999929</v>
      </c>
      <c r="H17" s="2" t="s">
        <v>9</v>
      </c>
      <c r="I17" s="2" t="s">
        <v>11</v>
      </c>
      <c r="J17" s="1"/>
    </row>
    <row r="18" spans="2:10" x14ac:dyDescent="0.25">
      <c r="B18" s="2">
        <v>5</v>
      </c>
      <c r="C18" s="2" t="s">
        <v>37</v>
      </c>
      <c r="D18" s="2" t="s">
        <v>27</v>
      </c>
      <c r="E18" s="3">
        <v>0.5</v>
      </c>
      <c r="F18" s="3">
        <v>0.52083333333333337</v>
      </c>
      <c r="G18" s="4">
        <f t="shared" si="0"/>
        <v>30.000000000000053</v>
      </c>
      <c r="H18" s="2" t="s">
        <v>19</v>
      </c>
      <c r="I18" s="2" t="s">
        <v>12</v>
      </c>
      <c r="J18" s="1"/>
    </row>
    <row r="19" spans="2:10" x14ac:dyDescent="0.25">
      <c r="B19" s="2">
        <v>6</v>
      </c>
      <c r="C19" s="2" t="s">
        <v>37</v>
      </c>
      <c r="D19" s="2" t="s">
        <v>27</v>
      </c>
      <c r="E19" s="3">
        <v>0.52638888888888891</v>
      </c>
      <c r="F19" s="3">
        <v>0.52916666666666667</v>
      </c>
      <c r="G19" s="4">
        <f t="shared" si="0"/>
        <v>3.9999999999999858</v>
      </c>
      <c r="H19" s="2" t="s">
        <v>9</v>
      </c>
      <c r="I19" s="2" t="s">
        <v>16</v>
      </c>
      <c r="J19" s="1"/>
    </row>
    <row r="20" spans="2:10" x14ac:dyDescent="0.25">
      <c r="B20" s="2">
        <v>7</v>
      </c>
      <c r="C20" s="2" t="s">
        <v>37</v>
      </c>
      <c r="D20" s="2" t="s">
        <v>27</v>
      </c>
      <c r="E20" s="3">
        <v>0.53611111111111109</v>
      </c>
      <c r="F20" s="3">
        <v>0.5395833333333333</v>
      </c>
      <c r="G20" s="4">
        <f t="shared" si="0"/>
        <v>4.9999999999999822</v>
      </c>
      <c r="H20" s="2" t="s">
        <v>5</v>
      </c>
      <c r="I20" s="2" t="s">
        <v>28</v>
      </c>
      <c r="J20" s="1"/>
    </row>
    <row r="21" spans="2:10" x14ac:dyDescent="0.25">
      <c r="B21" s="2">
        <v>8</v>
      </c>
      <c r="C21" s="2" t="s">
        <v>37</v>
      </c>
      <c r="D21" s="2" t="s">
        <v>27</v>
      </c>
      <c r="E21" s="3">
        <v>0.54166666666666663</v>
      </c>
      <c r="F21" s="3">
        <v>0.5444444444444444</v>
      </c>
      <c r="G21" s="4">
        <f t="shared" si="0"/>
        <v>3.9999999999999858</v>
      </c>
      <c r="H21" s="2" t="s">
        <v>6</v>
      </c>
      <c r="I21" s="2" t="s">
        <v>13</v>
      </c>
      <c r="J21" s="1"/>
    </row>
    <row r="22" spans="2:10" x14ac:dyDescent="0.25">
      <c r="B22" s="2">
        <v>9</v>
      </c>
      <c r="C22" s="2" t="s">
        <v>37</v>
      </c>
      <c r="D22" s="2" t="s">
        <v>27</v>
      </c>
      <c r="E22" s="3">
        <v>0.5541666666666667</v>
      </c>
      <c r="F22" s="3">
        <v>0.55972222222222223</v>
      </c>
      <c r="G22" s="4">
        <f t="shared" si="0"/>
        <v>7.9999999999999716</v>
      </c>
      <c r="H22" s="2" t="s">
        <v>9</v>
      </c>
      <c r="I22" s="2" t="s">
        <v>42</v>
      </c>
      <c r="J22" s="1"/>
    </row>
    <row r="23" spans="2:10" x14ac:dyDescent="0.25">
      <c r="B23" s="2">
        <v>10</v>
      </c>
      <c r="C23" s="2" t="s">
        <v>37</v>
      </c>
      <c r="D23" s="2" t="s">
        <v>27</v>
      </c>
      <c r="E23" s="3">
        <v>0.56805555555555554</v>
      </c>
      <c r="F23" s="3">
        <v>0.56874999999999998</v>
      </c>
      <c r="G23" s="4">
        <f t="shared" si="0"/>
        <v>0.99999999999999645</v>
      </c>
      <c r="H23" s="2" t="s">
        <v>5</v>
      </c>
      <c r="I23" s="2" t="s">
        <v>38</v>
      </c>
      <c r="J23" s="1"/>
    </row>
    <row r="24" spans="2:10" x14ac:dyDescent="0.25">
      <c r="B24" s="2">
        <v>11</v>
      </c>
      <c r="C24" s="2" t="s">
        <v>37</v>
      </c>
      <c r="D24" s="2" t="s">
        <v>27</v>
      </c>
      <c r="E24" s="3">
        <v>0.56944444444444442</v>
      </c>
      <c r="F24" s="3">
        <v>0.57291666666666663</v>
      </c>
      <c r="G24" s="4">
        <f t="shared" si="0"/>
        <v>4.9999999999999822</v>
      </c>
      <c r="H24" s="2" t="s">
        <v>9</v>
      </c>
      <c r="I24" s="2" t="s">
        <v>16</v>
      </c>
      <c r="J24" s="1"/>
    </row>
    <row r="25" spans="2:10" x14ac:dyDescent="0.25">
      <c r="B25" s="2">
        <v>12</v>
      </c>
      <c r="C25" s="2" t="s">
        <v>37</v>
      </c>
      <c r="D25" s="2" t="s">
        <v>27</v>
      </c>
      <c r="E25" s="3">
        <v>0.59027777777777779</v>
      </c>
      <c r="F25" s="3">
        <v>0.61944444444444446</v>
      </c>
      <c r="G25" s="4">
        <f t="shared" si="0"/>
        <v>42.000000000000014</v>
      </c>
      <c r="H25" s="2" t="s">
        <v>9</v>
      </c>
      <c r="I25" s="2" t="s">
        <v>42</v>
      </c>
      <c r="J25" s="1"/>
    </row>
    <row r="26" spans="2:10" x14ac:dyDescent="0.25">
      <c r="B26" s="2">
        <v>13</v>
      </c>
      <c r="C26" s="2" t="s">
        <v>37</v>
      </c>
      <c r="D26" s="2" t="s">
        <v>27</v>
      </c>
      <c r="E26" s="3">
        <v>0.62361111111111112</v>
      </c>
      <c r="F26" s="3">
        <v>0.62638888888888888</v>
      </c>
      <c r="G26" s="4">
        <f t="shared" si="0"/>
        <v>3.9999999999999858</v>
      </c>
      <c r="H26" s="2" t="s">
        <v>6</v>
      </c>
      <c r="I26" s="2" t="s">
        <v>13</v>
      </c>
      <c r="J26" s="1"/>
    </row>
    <row r="27" spans="2:10" x14ac:dyDescent="0.25">
      <c r="B27" s="2">
        <v>14</v>
      </c>
      <c r="C27" s="2" t="s">
        <v>37</v>
      </c>
      <c r="D27" s="2" t="s">
        <v>27</v>
      </c>
      <c r="E27" s="3">
        <v>0.64166666666666672</v>
      </c>
      <c r="F27" s="3">
        <v>0.64444444444444449</v>
      </c>
      <c r="G27" s="4">
        <f t="shared" si="0"/>
        <v>3.9999999999999858</v>
      </c>
      <c r="H27" s="2" t="s">
        <v>9</v>
      </c>
      <c r="I27" s="2" t="s">
        <v>42</v>
      </c>
      <c r="J27" s="1"/>
    </row>
    <row r="28" spans="2:10" x14ac:dyDescent="0.25">
      <c r="B28" s="2"/>
      <c r="C28" s="2"/>
      <c r="D28" s="2"/>
      <c r="E28" s="3"/>
      <c r="F28" s="3"/>
      <c r="G28" s="4"/>
      <c r="H28" s="2"/>
      <c r="I28" s="2"/>
      <c r="J28" s="1"/>
    </row>
    <row r="29" spans="2:10" x14ac:dyDescent="0.25">
      <c r="B29" s="2"/>
      <c r="C29" s="2"/>
      <c r="D29" s="2"/>
      <c r="E29" s="3"/>
      <c r="F29" s="3"/>
      <c r="G29" s="4"/>
      <c r="H29" s="2"/>
      <c r="I29" s="2"/>
      <c r="J29" s="1"/>
    </row>
    <row r="30" spans="2:10" s="5" customFormat="1" ht="15.75" thickBot="1" x14ac:dyDescent="0.3">
      <c r="C30" s="6"/>
      <c r="D30" s="6"/>
      <c r="E30" s="7"/>
      <c r="F30" s="7"/>
      <c r="G30" s="8"/>
      <c r="H30" s="6"/>
      <c r="I30" s="6"/>
      <c r="J30" s="6"/>
    </row>
    <row r="31" spans="2:10" ht="15.75" thickBot="1" x14ac:dyDescent="0.3">
      <c r="B31" s="5"/>
      <c r="C31" s="10"/>
      <c r="D31" s="10"/>
      <c r="E31" s="10"/>
      <c r="F31" s="26" t="s">
        <v>15</v>
      </c>
      <c r="G31" s="27">
        <f>SUM(G14:G27)</f>
        <v>280.99999999999994</v>
      </c>
      <c r="H31" s="28" t="s">
        <v>41</v>
      </c>
      <c r="I31" s="29" t="s">
        <v>25</v>
      </c>
      <c r="J31" s="1"/>
    </row>
    <row r="32" spans="2:10" ht="15.75" thickBot="1" x14ac:dyDescent="0.3">
      <c r="B32" s="5"/>
      <c r="C32" s="10"/>
      <c r="D32" s="10"/>
      <c r="E32" s="10"/>
      <c r="F32" s="12"/>
      <c r="G32" s="13"/>
      <c r="H32" s="12"/>
      <c r="I32" s="12"/>
      <c r="J32" s="1"/>
    </row>
    <row r="33" spans="2:10" x14ac:dyDescent="0.25">
      <c r="B33" s="5"/>
      <c r="C33" s="10"/>
      <c r="D33" s="10"/>
      <c r="E33" s="10"/>
      <c r="F33" s="16" t="s">
        <v>26</v>
      </c>
      <c r="G33" s="17"/>
      <c r="H33" s="17"/>
      <c r="I33" s="18"/>
      <c r="J33" s="1"/>
    </row>
    <row r="34" spans="2:10" x14ac:dyDescent="0.25">
      <c r="B34" s="5"/>
      <c r="C34" s="10"/>
      <c r="D34" s="10"/>
      <c r="E34" s="10"/>
      <c r="F34" s="19" t="s">
        <v>29</v>
      </c>
      <c r="G34" s="11">
        <v>86</v>
      </c>
      <c r="H34" s="11" t="s">
        <v>22</v>
      </c>
      <c r="I34" s="20" t="s">
        <v>37</v>
      </c>
      <c r="J34" s="1"/>
    </row>
    <row r="35" spans="2:10" x14ac:dyDescent="0.25">
      <c r="F35" s="21" t="s">
        <v>20</v>
      </c>
      <c r="G35" s="14">
        <v>19</v>
      </c>
      <c r="H35" s="14" t="s">
        <v>22</v>
      </c>
      <c r="I35" s="22" t="s">
        <v>24</v>
      </c>
    </row>
    <row r="36" spans="2:10" ht="15.75" thickBot="1" x14ac:dyDescent="0.3">
      <c r="F36" s="23" t="s">
        <v>23</v>
      </c>
      <c r="G36" s="24">
        <v>300</v>
      </c>
      <c r="H36" s="24" t="s">
        <v>21</v>
      </c>
      <c r="I36" s="25" t="s">
        <v>37</v>
      </c>
    </row>
  </sheetData>
  <mergeCells count="6">
    <mergeCell ref="B9:B11"/>
    <mergeCell ref="C2:J3"/>
    <mergeCell ref="F33:I33"/>
    <mergeCell ref="F11:G11"/>
    <mergeCell ref="F10:G10"/>
    <mergeCell ref="F9:G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 Microsoft 14</dc:creator>
  <cp:lastModifiedBy>Issa Masadeh</cp:lastModifiedBy>
  <cp:lastPrinted>2026-07-27T11:34:10Z</cp:lastPrinted>
  <dcterms:created xsi:type="dcterms:W3CDTF">2026-07-27T11:07:48Z</dcterms:created>
  <dcterms:modified xsi:type="dcterms:W3CDTF">2026-07-30T08:37:24Z</dcterms:modified>
</cp:coreProperties>
</file>