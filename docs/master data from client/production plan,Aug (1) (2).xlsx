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ulaziz.alakbary\Downloads\"/>
    </mc:Choice>
  </mc:AlternateContent>
  <xr:revisionPtr revIDLastSave="0" documentId="13_ncr:1_{E6545AA6-5DD0-4DEC-9C0C-17B5123B411B}" xr6:coauthVersionLast="47" xr6:coauthVersionMax="47" xr10:uidLastSave="{00000000-0000-0000-0000-000000000000}"/>
  <bookViews>
    <workbookView xWindow="-110" yWindow="-110" windowWidth="19420" windowHeight="10300" tabRatio="557" xr2:uid="{00000000-000D-0000-FFFF-FFFF00000000}"/>
  </bookViews>
  <sheets>
    <sheet name="SDPF (2)" sheetId="31" r:id="rId1"/>
  </sheets>
  <definedNames>
    <definedName name="_xlnm._FilterDatabase" localSheetId="0" hidden="1">'SDPF (2)'!$A$2:$CR$59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W59" i="31" l="1"/>
  <c r="CT59" i="31"/>
  <c r="CQ59" i="31"/>
  <c r="CN59" i="31"/>
  <c r="CK59" i="31"/>
  <c r="CH59" i="31"/>
  <c r="CE59" i="31"/>
  <c r="CF59" i="31" s="1"/>
  <c r="CB59" i="31"/>
  <c r="BY59" i="31"/>
  <c r="BV59" i="31"/>
  <c r="BS59" i="31"/>
  <c r="BP59" i="31"/>
  <c r="BM59" i="31"/>
  <c r="BJ59" i="31"/>
  <c r="BG59" i="31"/>
  <c r="BD59" i="31"/>
  <c r="BA59" i="31"/>
  <c r="AX59" i="31"/>
  <c r="DB58" i="31"/>
  <c r="CZ58" i="31"/>
  <c r="CY58" i="31"/>
  <c r="CW58" i="31"/>
  <c r="CV58" i="31"/>
  <c r="CT58" i="31"/>
  <c r="CS58" i="31"/>
  <c r="CQ58" i="31"/>
  <c r="CP58" i="31"/>
  <c r="CN58" i="31"/>
  <c r="CM58" i="31"/>
  <c r="CK58" i="31"/>
  <c r="CJ58" i="31"/>
  <c r="CH58" i="31"/>
  <c r="CG58" i="31"/>
  <c r="CE58" i="31"/>
  <c r="CD58" i="31"/>
  <c r="CB58" i="31"/>
  <c r="CA58" i="31"/>
  <c r="BY58" i="31"/>
  <c r="BX58" i="31"/>
  <c r="BV58" i="31"/>
  <c r="BU58" i="31"/>
  <c r="BS58" i="31"/>
  <c r="BR58" i="31"/>
  <c r="BP58" i="31"/>
  <c r="BO58" i="31"/>
  <c r="BM58" i="31"/>
  <c r="BL58" i="31"/>
  <c r="BJ58" i="31"/>
  <c r="BI58" i="31"/>
  <c r="BG58" i="31"/>
  <c r="BF58" i="31"/>
  <c r="BD58" i="31"/>
  <c r="BC58" i="31"/>
  <c r="BA58" i="31"/>
  <c r="AZ58" i="31"/>
  <c r="AX58" i="31"/>
  <c r="AW58" i="31"/>
  <c r="AU58" i="31"/>
  <c r="AT58" i="31"/>
  <c r="AR58" i="31"/>
  <c r="AQ58" i="31"/>
  <c r="AO58" i="31"/>
  <c r="AN58" i="31"/>
  <c r="AL58" i="31"/>
  <c r="AK58" i="31"/>
  <c r="AI58" i="31"/>
  <c r="AH58" i="31"/>
  <c r="AF58" i="31"/>
  <c r="AG58" i="31" s="1"/>
  <c r="AE58" i="31"/>
  <c r="AC58" i="31"/>
  <c r="AB58" i="31"/>
  <c r="Z58" i="31"/>
  <c r="Y58" i="31"/>
  <c r="W58" i="31"/>
  <c r="V58" i="31"/>
  <c r="T58" i="31"/>
  <c r="S58" i="31"/>
  <c r="Q58" i="31"/>
  <c r="DB57" i="31"/>
  <c r="CZ57" i="31"/>
  <c r="CY57" i="31"/>
  <c r="CW57" i="31"/>
  <c r="CV57" i="31"/>
  <c r="CT57" i="31"/>
  <c r="CS57" i="31"/>
  <c r="CQ57" i="31"/>
  <c r="CP57" i="31"/>
  <c r="CN57" i="31"/>
  <c r="CM57" i="31"/>
  <c r="CK57" i="31"/>
  <c r="CJ57" i="31"/>
  <c r="CH57" i="31"/>
  <c r="CG57" i="31"/>
  <c r="CE57" i="31"/>
  <c r="CD57" i="31"/>
  <c r="CB57" i="31"/>
  <c r="CA57" i="31"/>
  <c r="BY57" i="31"/>
  <c r="BX57" i="31"/>
  <c r="BV57" i="31"/>
  <c r="BU57" i="31"/>
  <c r="BS57" i="31"/>
  <c r="BR57" i="31"/>
  <c r="BP57" i="31"/>
  <c r="BO57" i="31"/>
  <c r="BM57" i="31"/>
  <c r="BL57" i="31"/>
  <c r="BJ57" i="31"/>
  <c r="BI57" i="31"/>
  <c r="BG57" i="31"/>
  <c r="BF57" i="31"/>
  <c r="BD57" i="31"/>
  <c r="BC57" i="31"/>
  <c r="BA57" i="31"/>
  <c r="AZ57" i="31"/>
  <c r="AX57" i="31"/>
  <c r="AW57" i="31"/>
  <c r="AU57" i="31"/>
  <c r="AT57" i="31"/>
  <c r="AR57" i="31"/>
  <c r="AQ57" i="31"/>
  <c r="AO57" i="31"/>
  <c r="AN57" i="31"/>
  <c r="AL57" i="31"/>
  <c r="AK57" i="31"/>
  <c r="AI57" i="31"/>
  <c r="AH57" i="31"/>
  <c r="AF57" i="31"/>
  <c r="AE57" i="31"/>
  <c r="AC57" i="31"/>
  <c r="AB57" i="31"/>
  <c r="Z57" i="31"/>
  <c r="Y57" i="31"/>
  <c r="W57" i="31"/>
  <c r="V57" i="31"/>
  <c r="T57" i="31"/>
  <c r="S57" i="31"/>
  <c r="Q57" i="31"/>
  <c r="K57" i="31"/>
  <c r="J57" i="31"/>
  <c r="I57" i="31"/>
  <c r="H57" i="31"/>
  <c r="F57" i="31"/>
  <c r="DA56" i="31"/>
  <c r="CX56" i="31"/>
  <c r="CU56" i="31"/>
  <c r="CR56" i="31"/>
  <c r="CO56" i="31"/>
  <c r="CL56" i="31"/>
  <c r="CI56" i="31"/>
  <c r="CF56" i="31"/>
  <c r="CC56" i="31"/>
  <c r="BZ56" i="31"/>
  <c r="BW56" i="31"/>
  <c r="BT56" i="31"/>
  <c r="BQ56" i="31"/>
  <c r="BN56" i="31"/>
  <c r="BK56" i="31"/>
  <c r="BH56" i="31"/>
  <c r="BE56" i="31"/>
  <c r="BB56" i="31"/>
  <c r="AY56" i="31"/>
  <c r="AV56" i="31"/>
  <c r="AS56" i="31"/>
  <c r="AP56" i="31"/>
  <c r="AM56" i="31"/>
  <c r="AJ56" i="31"/>
  <c r="AG56" i="31"/>
  <c r="AD56" i="31"/>
  <c r="AA56" i="31"/>
  <c r="X56" i="31"/>
  <c r="U56" i="31"/>
  <c r="R56" i="31"/>
  <c r="P56" i="31"/>
  <c r="O56" i="31"/>
  <c r="M56" i="31"/>
  <c r="N56" i="31" s="1"/>
  <c r="DA55" i="31"/>
  <c r="CX55" i="31"/>
  <c r="CU55" i="31"/>
  <c r="CR55" i="31"/>
  <c r="CO55" i="31"/>
  <c r="CL55" i="31"/>
  <c r="CI55" i="31"/>
  <c r="CF55" i="31"/>
  <c r="CC55" i="31"/>
  <c r="BZ55" i="31"/>
  <c r="BW55" i="31"/>
  <c r="BT55" i="31"/>
  <c r="BQ55" i="31"/>
  <c r="BN55" i="31"/>
  <c r="BK55" i="31"/>
  <c r="BH55" i="31"/>
  <c r="BE55" i="31"/>
  <c r="BB55" i="31"/>
  <c r="AY55" i="31"/>
  <c r="AV55" i="31"/>
  <c r="AS55" i="31"/>
  <c r="AP55" i="31"/>
  <c r="AM55" i="31"/>
  <c r="AJ55" i="31"/>
  <c r="AG55" i="31"/>
  <c r="AD55" i="31"/>
  <c r="AA55" i="31"/>
  <c r="X55" i="31"/>
  <c r="U55" i="31"/>
  <c r="R55" i="31"/>
  <c r="P55" i="31"/>
  <c r="O55" i="31"/>
  <c r="M55" i="31"/>
  <c r="N55" i="31" s="1"/>
  <c r="DA54" i="31"/>
  <c r="CX54" i="31"/>
  <c r="CU54" i="31"/>
  <c r="CR54" i="31"/>
  <c r="CO54" i="31"/>
  <c r="CL54" i="31"/>
  <c r="CI54" i="31"/>
  <c r="CF54" i="31"/>
  <c r="CC54" i="31"/>
  <c r="BZ54" i="31"/>
  <c r="BW54" i="31"/>
  <c r="BT54" i="31"/>
  <c r="BQ54" i="31"/>
  <c r="BN54" i="31"/>
  <c r="BK54" i="31"/>
  <c r="BH54" i="31"/>
  <c r="BE54" i="31"/>
  <c r="BB54" i="31"/>
  <c r="AY54" i="31"/>
  <c r="AV54" i="31"/>
  <c r="AS54" i="31"/>
  <c r="AP54" i="31"/>
  <c r="AM54" i="31"/>
  <c r="AJ54" i="31"/>
  <c r="AG54" i="31"/>
  <c r="AD54" i="31"/>
  <c r="AA54" i="31"/>
  <c r="X54" i="31"/>
  <c r="U54" i="31"/>
  <c r="R54" i="31"/>
  <c r="P54" i="31"/>
  <c r="O54" i="31"/>
  <c r="M54" i="31"/>
  <c r="N54" i="31" s="1"/>
  <c r="DA53" i="31"/>
  <c r="CX53" i="31"/>
  <c r="CU53" i="31"/>
  <c r="CR53" i="31"/>
  <c r="CO53" i="31"/>
  <c r="CL53" i="31"/>
  <c r="CI53" i="31"/>
  <c r="CF53" i="31"/>
  <c r="CC53" i="31"/>
  <c r="BZ53" i="31"/>
  <c r="BW53" i="31"/>
  <c r="BT53" i="31"/>
  <c r="BQ53" i="31"/>
  <c r="BN53" i="31"/>
  <c r="BK53" i="31"/>
  <c r="BH53" i="31"/>
  <c r="BE53" i="31"/>
  <c r="BB53" i="31"/>
  <c r="AY53" i="31"/>
  <c r="AV53" i="31"/>
  <c r="AS53" i="31"/>
  <c r="AP53" i="31"/>
  <c r="AM53" i="31"/>
  <c r="AJ53" i="31"/>
  <c r="AG53" i="31"/>
  <c r="AD53" i="31"/>
  <c r="AA53" i="31"/>
  <c r="X53" i="31"/>
  <c r="U53" i="31"/>
  <c r="R53" i="31"/>
  <c r="P53" i="31"/>
  <c r="O53" i="31"/>
  <c r="M53" i="31"/>
  <c r="N53" i="31" s="1"/>
  <c r="DA52" i="31"/>
  <c r="CX52" i="31"/>
  <c r="CU52" i="31"/>
  <c r="CR52" i="31"/>
  <c r="CO52" i="31"/>
  <c r="CL52" i="31"/>
  <c r="CI52" i="31"/>
  <c r="CF52" i="31"/>
  <c r="CC52" i="31"/>
  <c r="BZ52" i="31"/>
  <c r="BW52" i="31"/>
  <c r="BT52" i="31"/>
  <c r="BQ52" i="31"/>
  <c r="BN52" i="31"/>
  <c r="BK52" i="31"/>
  <c r="BH52" i="31"/>
  <c r="BE52" i="31"/>
  <c r="BB52" i="31"/>
  <c r="AY52" i="31"/>
  <c r="AV52" i="31"/>
  <c r="AS52" i="31"/>
  <c r="AP52" i="31"/>
  <c r="AM52" i="31"/>
  <c r="AJ52" i="31"/>
  <c r="AG52" i="31"/>
  <c r="AD52" i="31"/>
  <c r="AA52" i="31"/>
  <c r="X52" i="31"/>
  <c r="U52" i="31"/>
  <c r="R52" i="31"/>
  <c r="P52" i="31"/>
  <c r="O52" i="31"/>
  <c r="M52" i="31"/>
  <c r="N52" i="31" s="1"/>
  <c r="DA51" i="31"/>
  <c r="CX51" i="31"/>
  <c r="CU51" i="31"/>
  <c r="CR51" i="31"/>
  <c r="CO51" i="31"/>
  <c r="CL51" i="31"/>
  <c r="CI51" i="31"/>
  <c r="CF51" i="31"/>
  <c r="CC51" i="31"/>
  <c r="BZ51" i="31"/>
  <c r="BW51" i="31"/>
  <c r="BT51" i="31"/>
  <c r="BQ51" i="31"/>
  <c r="BN51" i="31"/>
  <c r="BK51" i="31"/>
  <c r="BH51" i="31"/>
  <c r="BE51" i="31"/>
  <c r="BB51" i="31"/>
  <c r="AY51" i="31"/>
  <c r="AV51" i="31"/>
  <c r="AS51" i="31"/>
  <c r="AP51" i="31"/>
  <c r="AM51" i="31"/>
  <c r="AJ51" i="31"/>
  <c r="AG51" i="31"/>
  <c r="AD51" i="31"/>
  <c r="AA51" i="31"/>
  <c r="X51" i="31"/>
  <c r="U51" i="31"/>
  <c r="R51" i="31"/>
  <c r="P51" i="31"/>
  <c r="O51" i="31"/>
  <c r="M51" i="31"/>
  <c r="N51" i="31" s="1"/>
  <c r="DA50" i="31"/>
  <c r="CX50" i="31"/>
  <c r="CU50" i="31"/>
  <c r="CR50" i="31"/>
  <c r="CO50" i="31"/>
  <c r="CL50" i="31"/>
  <c r="CI50" i="31"/>
  <c r="CF50" i="31"/>
  <c r="CC50" i="31"/>
  <c r="BZ50" i="31"/>
  <c r="BW50" i="31"/>
  <c r="BT50" i="31"/>
  <c r="BQ50" i="31"/>
  <c r="BN50" i="31"/>
  <c r="BK50" i="31"/>
  <c r="BH50" i="31"/>
  <c r="BE50" i="31"/>
  <c r="BB50" i="31"/>
  <c r="AY50" i="31"/>
  <c r="AV50" i="31"/>
  <c r="AS50" i="31"/>
  <c r="AP50" i="31"/>
  <c r="AM50" i="31"/>
  <c r="AJ50" i="31"/>
  <c r="AG50" i="31"/>
  <c r="AD50" i="31"/>
  <c r="AA50" i="31"/>
  <c r="X50" i="31"/>
  <c r="U50" i="31"/>
  <c r="R50" i="31"/>
  <c r="P50" i="31"/>
  <c r="O50" i="31"/>
  <c r="M50" i="31"/>
  <c r="N50" i="31" s="1"/>
  <c r="DA49" i="31"/>
  <c r="CX49" i="31"/>
  <c r="CU49" i="31"/>
  <c r="CR49" i="31"/>
  <c r="CO49" i="31"/>
  <c r="CL49" i="31"/>
  <c r="CI49" i="31"/>
  <c r="CF49" i="31"/>
  <c r="CC49" i="31"/>
  <c r="BZ49" i="31"/>
  <c r="BW49" i="31"/>
  <c r="BT49" i="31"/>
  <c r="BQ49" i="31"/>
  <c r="BN49" i="31"/>
  <c r="BK49" i="31"/>
  <c r="BH49" i="31"/>
  <c r="BE49" i="31"/>
  <c r="BB49" i="31"/>
  <c r="AY49" i="31"/>
  <c r="AV49" i="31"/>
  <c r="AS49" i="31"/>
  <c r="AP49" i="31"/>
  <c r="AM49" i="31"/>
  <c r="AJ49" i="31"/>
  <c r="AG49" i="31"/>
  <c r="AD49" i="31"/>
  <c r="AA49" i="31"/>
  <c r="X49" i="31"/>
  <c r="U49" i="31"/>
  <c r="R49" i="31"/>
  <c r="P49" i="31"/>
  <c r="O49" i="31"/>
  <c r="M49" i="31"/>
  <c r="N49" i="31" s="1"/>
  <c r="DA48" i="31"/>
  <c r="CX48" i="31"/>
  <c r="CU48" i="31"/>
  <c r="CR48" i="31"/>
  <c r="CO48" i="31"/>
  <c r="CL48" i="31"/>
  <c r="CI48" i="31"/>
  <c r="CF48" i="31"/>
  <c r="CC48" i="31"/>
  <c r="BZ48" i="31"/>
  <c r="BW48" i="31"/>
  <c r="BT48" i="31"/>
  <c r="BQ48" i="31"/>
  <c r="BN48" i="31"/>
  <c r="BK48" i="31"/>
  <c r="BH48" i="31"/>
  <c r="BE48" i="31"/>
  <c r="BB48" i="31"/>
  <c r="AY48" i="31"/>
  <c r="AV48" i="31"/>
  <c r="AS48" i="31"/>
  <c r="AP48" i="31"/>
  <c r="AM48" i="31"/>
  <c r="AJ48" i="31"/>
  <c r="AG48" i="31"/>
  <c r="AD48" i="31"/>
  <c r="AA48" i="31"/>
  <c r="X48" i="31"/>
  <c r="U48" i="31"/>
  <c r="R48" i="31"/>
  <c r="P48" i="31"/>
  <c r="O48" i="31"/>
  <c r="M48" i="31"/>
  <c r="N48" i="31" s="1"/>
  <c r="DA47" i="31"/>
  <c r="CX47" i="31"/>
  <c r="CU47" i="31"/>
  <c r="CR47" i="31"/>
  <c r="CO47" i="31"/>
  <c r="CL47" i="31"/>
  <c r="CI47" i="31"/>
  <c r="CF47" i="31"/>
  <c r="CC47" i="31"/>
  <c r="BZ47" i="31"/>
  <c r="BW47" i="31"/>
  <c r="BT47" i="31"/>
  <c r="BQ47" i="31"/>
  <c r="BN47" i="31"/>
  <c r="BK47" i="31"/>
  <c r="BH47" i="31"/>
  <c r="BE47" i="31"/>
  <c r="BB47" i="31"/>
  <c r="AY47" i="31"/>
  <c r="AV47" i="31"/>
  <c r="AS47" i="31"/>
  <c r="AP47" i="31"/>
  <c r="AM47" i="31"/>
  <c r="AJ47" i="31"/>
  <c r="AG47" i="31"/>
  <c r="AD47" i="31"/>
  <c r="AA47" i="31"/>
  <c r="X47" i="31"/>
  <c r="U47" i="31"/>
  <c r="R47" i="31"/>
  <c r="P47" i="31"/>
  <c r="O47" i="31"/>
  <c r="M47" i="31"/>
  <c r="N47" i="31" s="1"/>
  <c r="DA46" i="31"/>
  <c r="CX46" i="31"/>
  <c r="CU46" i="31"/>
  <c r="CR46" i="31"/>
  <c r="CO46" i="31"/>
  <c r="CL46" i="31"/>
  <c r="CI46" i="31"/>
  <c r="CF46" i="31"/>
  <c r="CC46" i="31"/>
  <c r="BZ46" i="31"/>
  <c r="BW46" i="31"/>
  <c r="BT46" i="31"/>
  <c r="BQ46" i="31"/>
  <c r="BN46" i="31"/>
  <c r="BK46" i="31"/>
  <c r="BH46" i="31"/>
  <c r="BE46" i="31"/>
  <c r="BB46" i="31"/>
  <c r="AY46" i="31"/>
  <c r="AV46" i="31"/>
  <c r="AS46" i="31"/>
  <c r="AP46" i="31"/>
  <c r="AM46" i="31"/>
  <c r="AJ46" i="31"/>
  <c r="AG46" i="31"/>
  <c r="AD46" i="31"/>
  <c r="AA46" i="31"/>
  <c r="X46" i="31"/>
  <c r="U46" i="31"/>
  <c r="R46" i="31"/>
  <c r="P46" i="31"/>
  <c r="O46" i="31"/>
  <c r="M46" i="31"/>
  <c r="N46" i="31" s="1"/>
  <c r="DA45" i="31"/>
  <c r="CX45" i="31"/>
  <c r="CU45" i="31"/>
  <c r="CR45" i="31"/>
  <c r="CO45" i="31"/>
  <c r="CL45" i="31"/>
  <c r="CI45" i="31"/>
  <c r="CF45" i="31"/>
  <c r="CC45" i="31"/>
  <c r="BZ45" i="31"/>
  <c r="BW45" i="31"/>
  <c r="BT45" i="31"/>
  <c r="BQ45" i="31"/>
  <c r="BN45" i="31"/>
  <c r="BK45" i="31"/>
  <c r="BH45" i="31"/>
  <c r="BE45" i="31"/>
  <c r="BB45" i="31"/>
  <c r="AY45" i="31"/>
  <c r="AV45" i="31"/>
  <c r="AS45" i="31"/>
  <c r="AP45" i="31"/>
  <c r="AM45" i="31"/>
  <c r="AJ45" i="31"/>
  <c r="AG45" i="31"/>
  <c r="AD45" i="31"/>
  <c r="AA45" i="31"/>
  <c r="X45" i="31"/>
  <c r="U45" i="31"/>
  <c r="R45" i="31"/>
  <c r="P45" i="31"/>
  <c r="O45" i="31"/>
  <c r="M45" i="31"/>
  <c r="N45" i="31" s="1"/>
  <c r="DA44" i="31"/>
  <c r="CX44" i="31"/>
  <c r="CU44" i="31"/>
  <c r="CR44" i="31"/>
  <c r="CO44" i="31"/>
  <c r="CL44" i="31"/>
  <c r="CI44" i="31"/>
  <c r="CF44" i="31"/>
  <c r="CC44" i="31"/>
  <c r="BZ44" i="31"/>
  <c r="BW44" i="31"/>
  <c r="BT44" i="31"/>
  <c r="BQ44" i="31"/>
  <c r="BN44" i="31"/>
  <c r="BK44" i="31"/>
  <c r="BH44" i="31"/>
  <c r="BE44" i="31"/>
  <c r="BB44" i="31"/>
  <c r="AY44" i="31"/>
  <c r="AV44" i="31"/>
  <c r="AS44" i="31"/>
  <c r="AP44" i="31"/>
  <c r="AM44" i="31"/>
  <c r="AJ44" i="31"/>
  <c r="AG44" i="31"/>
  <c r="AD44" i="31"/>
  <c r="AA44" i="31"/>
  <c r="X44" i="31"/>
  <c r="U44" i="31"/>
  <c r="R44" i="31"/>
  <c r="P44" i="31"/>
  <c r="O44" i="31"/>
  <c r="M44" i="31"/>
  <c r="N44" i="31" s="1"/>
  <c r="DA43" i="31"/>
  <c r="CX43" i="31"/>
  <c r="CU43" i="31"/>
  <c r="CR43" i="31"/>
  <c r="CO43" i="31"/>
  <c r="CL43" i="31"/>
  <c r="CI43" i="31"/>
  <c r="CF43" i="31"/>
  <c r="CC43" i="31"/>
  <c r="BZ43" i="31"/>
  <c r="BW43" i="31"/>
  <c r="BT43" i="31"/>
  <c r="BQ43" i="31"/>
  <c r="BN43" i="31"/>
  <c r="BK43" i="31"/>
  <c r="BH43" i="31"/>
  <c r="BE43" i="31"/>
  <c r="BB43" i="31"/>
  <c r="AY43" i="31"/>
  <c r="AV43" i="31"/>
  <c r="AS43" i="31"/>
  <c r="AP43" i="31"/>
  <c r="AM43" i="31"/>
  <c r="AJ43" i="31"/>
  <c r="AG43" i="31"/>
  <c r="AD43" i="31"/>
  <c r="AA43" i="31"/>
  <c r="X43" i="31"/>
  <c r="U43" i="31"/>
  <c r="R43" i="31"/>
  <c r="P43" i="31"/>
  <c r="O43" i="31"/>
  <c r="M43" i="31"/>
  <c r="N43" i="31" s="1"/>
  <c r="DA42" i="31"/>
  <c r="CX42" i="31"/>
  <c r="CU42" i="31"/>
  <c r="CR42" i="31"/>
  <c r="CO42" i="31"/>
  <c r="CL42" i="31"/>
  <c r="CI42" i="31"/>
  <c r="CF42" i="31"/>
  <c r="CC42" i="31"/>
  <c r="BZ42" i="31"/>
  <c r="BW42" i="31"/>
  <c r="BT42" i="31"/>
  <c r="BQ42" i="31"/>
  <c r="BN42" i="31"/>
  <c r="BK42" i="31"/>
  <c r="BH42" i="31"/>
  <c r="BE42" i="31"/>
  <c r="BB42" i="31"/>
  <c r="AY42" i="31"/>
  <c r="AV42" i="31"/>
  <c r="AS42" i="31"/>
  <c r="AP42" i="31"/>
  <c r="AM42" i="31"/>
  <c r="AJ42" i="31"/>
  <c r="AG42" i="31"/>
  <c r="AD42" i="31"/>
  <c r="AA42" i="31"/>
  <c r="X42" i="31"/>
  <c r="U42" i="31"/>
  <c r="R42" i="31"/>
  <c r="P42" i="31"/>
  <c r="O42" i="31"/>
  <c r="DA41" i="31"/>
  <c r="CX41" i="31"/>
  <c r="CU41" i="31"/>
  <c r="CR41" i="31"/>
  <c r="CO41" i="31"/>
  <c r="CL41" i="31"/>
  <c r="CI41" i="31"/>
  <c r="CF41" i="31"/>
  <c r="CC41" i="31"/>
  <c r="BZ41" i="31"/>
  <c r="BW41" i="31"/>
  <c r="BT41" i="31"/>
  <c r="BQ41" i="31"/>
  <c r="BN41" i="31"/>
  <c r="BK41" i="31"/>
  <c r="BH41" i="31"/>
  <c r="BE41" i="31"/>
  <c r="BB41" i="31"/>
  <c r="AY41" i="31"/>
  <c r="AV41" i="31"/>
  <c r="AS41" i="31"/>
  <c r="AP41" i="31"/>
  <c r="AM41" i="31"/>
  <c r="AJ41" i="31"/>
  <c r="AG41" i="31"/>
  <c r="AD41" i="31"/>
  <c r="AA41" i="31"/>
  <c r="X41" i="31"/>
  <c r="U41" i="31"/>
  <c r="R41" i="31"/>
  <c r="P41" i="31"/>
  <c r="O41" i="31"/>
  <c r="DA40" i="31"/>
  <c r="CX40" i="31"/>
  <c r="CU40" i="31"/>
  <c r="CR40" i="31"/>
  <c r="CO40" i="31"/>
  <c r="CL40" i="31"/>
  <c r="CI40" i="31"/>
  <c r="CF40" i="31"/>
  <c r="CC40" i="31"/>
  <c r="BZ40" i="31"/>
  <c r="BW40" i="31"/>
  <c r="BT40" i="31"/>
  <c r="BQ40" i="31"/>
  <c r="BN40" i="31"/>
  <c r="BK40" i="31"/>
  <c r="BH40" i="31"/>
  <c r="BE40" i="31"/>
  <c r="BB40" i="31"/>
  <c r="AY40" i="31"/>
  <c r="AV40" i="31"/>
  <c r="AS40" i="31"/>
  <c r="AP40" i="31"/>
  <c r="AM40" i="31"/>
  <c r="AJ40" i="31"/>
  <c r="AG40" i="31"/>
  <c r="AD40" i="31"/>
  <c r="AA40" i="31"/>
  <c r="X40" i="31"/>
  <c r="U40" i="31"/>
  <c r="R40" i="31"/>
  <c r="P40" i="31"/>
  <c r="O40" i="31"/>
  <c r="DA39" i="31"/>
  <c r="CX39" i="31"/>
  <c r="CU39" i="31"/>
  <c r="CR39" i="31"/>
  <c r="CO39" i="31"/>
  <c r="CL39" i="31"/>
  <c r="CI39" i="31"/>
  <c r="CF39" i="31"/>
  <c r="CC39" i="31"/>
  <c r="BZ39" i="31"/>
  <c r="BW39" i="31"/>
  <c r="BT39" i="31"/>
  <c r="BQ39" i="31"/>
  <c r="BN39" i="31"/>
  <c r="BK39" i="31"/>
  <c r="BH39" i="31"/>
  <c r="BE39" i="31"/>
  <c r="BB39" i="31"/>
  <c r="AY39" i="31"/>
  <c r="AV39" i="31"/>
  <c r="AS39" i="31"/>
  <c r="AP39" i="31"/>
  <c r="AM39" i="31"/>
  <c r="AJ39" i="31"/>
  <c r="AG39" i="31"/>
  <c r="AD39" i="31"/>
  <c r="AA39" i="31"/>
  <c r="X39" i="31"/>
  <c r="U39" i="31"/>
  <c r="R39" i="31"/>
  <c r="P39" i="31"/>
  <c r="O39" i="31"/>
  <c r="M39" i="31"/>
  <c r="N39" i="31" s="1"/>
  <c r="DA38" i="31"/>
  <c r="CX38" i="31"/>
  <c r="CU38" i="31"/>
  <c r="CR38" i="31"/>
  <c r="CO38" i="31"/>
  <c r="CL38" i="31"/>
  <c r="CI38" i="31"/>
  <c r="CF38" i="31"/>
  <c r="CC38" i="31"/>
  <c r="BZ38" i="31"/>
  <c r="BW38" i="31"/>
  <c r="BT38" i="31"/>
  <c r="BQ38" i="31"/>
  <c r="BN38" i="31"/>
  <c r="BK38" i="31"/>
  <c r="BH38" i="31"/>
  <c r="BE38" i="31"/>
  <c r="BB38" i="31"/>
  <c r="AY38" i="31"/>
  <c r="AV38" i="31"/>
  <c r="AS38" i="31"/>
  <c r="AP38" i="31"/>
  <c r="AM38" i="31"/>
  <c r="AJ38" i="31"/>
  <c r="AG38" i="31"/>
  <c r="AD38" i="31"/>
  <c r="AA38" i="31"/>
  <c r="X38" i="31"/>
  <c r="U38" i="31"/>
  <c r="R38" i="31"/>
  <c r="P38" i="31"/>
  <c r="O38" i="31"/>
  <c r="M38" i="31"/>
  <c r="N38" i="31" s="1"/>
  <c r="DA37" i="31"/>
  <c r="CX37" i="31"/>
  <c r="CU37" i="31"/>
  <c r="CR37" i="31"/>
  <c r="CO37" i="31"/>
  <c r="CL37" i="31"/>
  <c r="CI37" i="31"/>
  <c r="CF37" i="31"/>
  <c r="CC37" i="31"/>
  <c r="BZ37" i="31"/>
  <c r="BW37" i="31"/>
  <c r="BT37" i="31"/>
  <c r="BQ37" i="31"/>
  <c r="BN37" i="31"/>
  <c r="BK37" i="31"/>
  <c r="BH37" i="31"/>
  <c r="BE37" i="31"/>
  <c r="BB37" i="31"/>
  <c r="AY37" i="31"/>
  <c r="AV37" i="31"/>
  <c r="AS37" i="31"/>
  <c r="AP37" i="31"/>
  <c r="AM37" i="31"/>
  <c r="AJ37" i="31"/>
  <c r="AG37" i="31"/>
  <c r="AD37" i="31"/>
  <c r="AA37" i="31"/>
  <c r="X37" i="31"/>
  <c r="U37" i="31"/>
  <c r="R37" i="31"/>
  <c r="P37" i="31"/>
  <c r="O37" i="31"/>
  <c r="M37" i="31"/>
  <c r="N37" i="31" s="1"/>
  <c r="DA36" i="31"/>
  <c r="CX36" i="31"/>
  <c r="CU36" i="31"/>
  <c r="CR36" i="31"/>
  <c r="CO36" i="31"/>
  <c r="CL36" i="31"/>
  <c r="CI36" i="31"/>
  <c r="CF36" i="31"/>
  <c r="CC36" i="31"/>
  <c r="BZ36" i="31"/>
  <c r="BW36" i="31"/>
  <c r="BT36" i="31"/>
  <c r="BQ36" i="31"/>
  <c r="BN36" i="31"/>
  <c r="BK36" i="31"/>
  <c r="BH36" i="31"/>
  <c r="BE36" i="31"/>
  <c r="BB36" i="31"/>
  <c r="AY36" i="31"/>
  <c r="AV36" i="31"/>
  <c r="AS36" i="31"/>
  <c r="AP36" i="31"/>
  <c r="AM36" i="31"/>
  <c r="AJ36" i="31"/>
  <c r="AG36" i="31"/>
  <c r="AD36" i="31"/>
  <c r="AA36" i="31"/>
  <c r="X36" i="31"/>
  <c r="U36" i="31"/>
  <c r="R36" i="31"/>
  <c r="P36" i="31"/>
  <c r="O36" i="31"/>
  <c r="M36" i="31"/>
  <c r="N36" i="31" s="1"/>
  <c r="DA35" i="31"/>
  <c r="CX35" i="31"/>
  <c r="CU35" i="31"/>
  <c r="CR35" i="31"/>
  <c r="CO35" i="31"/>
  <c r="CL35" i="31"/>
  <c r="CI35" i="31"/>
  <c r="CF35" i="31"/>
  <c r="CC35" i="31"/>
  <c r="BZ35" i="31"/>
  <c r="BW35" i="31"/>
  <c r="BT35" i="31"/>
  <c r="BQ35" i="31"/>
  <c r="BN35" i="31"/>
  <c r="BK35" i="31"/>
  <c r="BH35" i="31"/>
  <c r="BE35" i="31"/>
  <c r="BB35" i="31"/>
  <c r="AY35" i="31"/>
  <c r="AV35" i="31"/>
  <c r="AS35" i="31"/>
  <c r="AP35" i="31"/>
  <c r="AM35" i="31"/>
  <c r="AJ35" i="31"/>
  <c r="AG35" i="31"/>
  <c r="AD35" i="31"/>
  <c r="AA35" i="31"/>
  <c r="X35" i="31"/>
  <c r="U35" i="31"/>
  <c r="R35" i="31"/>
  <c r="P35" i="31"/>
  <c r="O35" i="31"/>
  <c r="M35" i="31"/>
  <c r="N35" i="31" s="1"/>
  <c r="DA34" i="31"/>
  <c r="CX34" i="31"/>
  <c r="CU34" i="31"/>
  <c r="CR34" i="31"/>
  <c r="CO34" i="31"/>
  <c r="CL34" i="31"/>
  <c r="CI34" i="31"/>
  <c r="CF34" i="31"/>
  <c r="CC34" i="31"/>
  <c r="BZ34" i="31"/>
  <c r="BW34" i="31"/>
  <c r="BT34" i="31"/>
  <c r="BQ34" i="31"/>
  <c r="BN34" i="31"/>
  <c r="BK34" i="31"/>
  <c r="BH34" i="31"/>
  <c r="BE34" i="31"/>
  <c r="BB34" i="31"/>
  <c r="AY34" i="31"/>
  <c r="AV34" i="31"/>
  <c r="AS34" i="31"/>
  <c r="AP34" i="31"/>
  <c r="AM34" i="31"/>
  <c r="AJ34" i="31"/>
  <c r="AG34" i="31"/>
  <c r="AD34" i="31"/>
  <c r="AA34" i="31"/>
  <c r="X34" i="31"/>
  <c r="U34" i="31"/>
  <c r="R34" i="31"/>
  <c r="P34" i="31"/>
  <c r="O34" i="31"/>
  <c r="M34" i="31"/>
  <c r="N34" i="31" s="1"/>
  <c r="DA33" i="31"/>
  <c r="CX33" i="31"/>
  <c r="CU33" i="31"/>
  <c r="CR33" i="31"/>
  <c r="CO33" i="31"/>
  <c r="CL33" i="31"/>
  <c r="CI33" i="31"/>
  <c r="CF33" i="31"/>
  <c r="CC33" i="31"/>
  <c r="BZ33" i="31"/>
  <c r="BW33" i="31"/>
  <c r="BT33" i="31"/>
  <c r="BQ33" i="31"/>
  <c r="BN33" i="31"/>
  <c r="BK33" i="31"/>
  <c r="BH33" i="31"/>
  <c r="BE33" i="31"/>
  <c r="BB33" i="31"/>
  <c r="AY33" i="31"/>
  <c r="AV33" i="31"/>
  <c r="AS33" i="31"/>
  <c r="AP33" i="31"/>
  <c r="AM33" i="31"/>
  <c r="AJ33" i="31"/>
  <c r="AG33" i="31"/>
  <c r="AD33" i="31"/>
  <c r="AA33" i="31"/>
  <c r="X33" i="31"/>
  <c r="U33" i="31"/>
  <c r="R33" i="31"/>
  <c r="P33" i="31"/>
  <c r="O33" i="31"/>
  <c r="DA32" i="31"/>
  <c r="CX32" i="31"/>
  <c r="CU32" i="31"/>
  <c r="CR32" i="31"/>
  <c r="CO32" i="31"/>
  <c r="CL32" i="31"/>
  <c r="CI32" i="31"/>
  <c r="CF32" i="31"/>
  <c r="CC32" i="31"/>
  <c r="BZ32" i="31"/>
  <c r="BW32" i="31"/>
  <c r="BT32" i="31"/>
  <c r="BQ32" i="31"/>
  <c r="BN32" i="31"/>
  <c r="BK32" i="31"/>
  <c r="BH32" i="31"/>
  <c r="BE32" i="31"/>
  <c r="BB32" i="31"/>
  <c r="AY32" i="31"/>
  <c r="AV32" i="31"/>
  <c r="AS32" i="31"/>
  <c r="AP32" i="31"/>
  <c r="AM32" i="31"/>
  <c r="AJ32" i="31"/>
  <c r="AG32" i="31"/>
  <c r="AD32" i="31"/>
  <c r="AA32" i="31"/>
  <c r="X32" i="31"/>
  <c r="U32" i="31"/>
  <c r="R32" i="31"/>
  <c r="P32" i="31"/>
  <c r="O32" i="31"/>
  <c r="DA31" i="31"/>
  <c r="CX31" i="31"/>
  <c r="CU31" i="31"/>
  <c r="CR31" i="31"/>
  <c r="CO31" i="31"/>
  <c r="CL31" i="31"/>
  <c r="CI31" i="31"/>
  <c r="CF31" i="31"/>
  <c r="CC31" i="31"/>
  <c r="BZ31" i="31"/>
  <c r="BW31" i="31"/>
  <c r="BT31" i="31"/>
  <c r="BQ31" i="31"/>
  <c r="BN31" i="31"/>
  <c r="BK31" i="31"/>
  <c r="BH31" i="31"/>
  <c r="BE31" i="31"/>
  <c r="BB31" i="31"/>
  <c r="AY31" i="31"/>
  <c r="AV31" i="31"/>
  <c r="AS31" i="31"/>
  <c r="AP31" i="31"/>
  <c r="AM31" i="31"/>
  <c r="AJ31" i="31"/>
  <c r="AG31" i="31"/>
  <c r="AD31" i="31"/>
  <c r="AA31" i="31"/>
  <c r="X31" i="31"/>
  <c r="U31" i="31"/>
  <c r="R31" i="31"/>
  <c r="P31" i="31"/>
  <c r="O31" i="31"/>
  <c r="DA30" i="31"/>
  <c r="CX30" i="31"/>
  <c r="CU30" i="31"/>
  <c r="CR30" i="31"/>
  <c r="CO30" i="31"/>
  <c r="CL30" i="31"/>
  <c r="CI30" i="31"/>
  <c r="CF30" i="31"/>
  <c r="CC30" i="31"/>
  <c r="BZ30" i="31"/>
  <c r="BW30" i="31"/>
  <c r="BT30" i="31"/>
  <c r="BQ30" i="31"/>
  <c r="BN30" i="31"/>
  <c r="BK30" i="31"/>
  <c r="BH30" i="31"/>
  <c r="BE30" i="31"/>
  <c r="BB30" i="31"/>
  <c r="AY30" i="31"/>
  <c r="AV30" i="31"/>
  <c r="AS30" i="31"/>
  <c r="AP30" i="31"/>
  <c r="AM30" i="31"/>
  <c r="AJ30" i="31"/>
  <c r="AG30" i="31"/>
  <c r="AD30" i="31"/>
  <c r="AA30" i="31"/>
  <c r="X30" i="31"/>
  <c r="U30" i="31"/>
  <c r="R30" i="31"/>
  <c r="P30" i="31"/>
  <c r="O30" i="31"/>
  <c r="DA29" i="31"/>
  <c r="CX29" i="31"/>
  <c r="CU29" i="31"/>
  <c r="CR29" i="31"/>
  <c r="CO29" i="31"/>
  <c r="CL29" i="31"/>
  <c r="CI29" i="31"/>
  <c r="CF29" i="31"/>
  <c r="CC29" i="31"/>
  <c r="BZ29" i="31"/>
  <c r="BW29" i="31"/>
  <c r="BT29" i="31"/>
  <c r="BQ29" i="31"/>
  <c r="BN29" i="31"/>
  <c r="BK29" i="31"/>
  <c r="BH29" i="31"/>
  <c r="BE29" i="31"/>
  <c r="BB29" i="31"/>
  <c r="AY29" i="31"/>
  <c r="AV29" i="31"/>
  <c r="AS29" i="31"/>
  <c r="AP29" i="31"/>
  <c r="AM29" i="31"/>
  <c r="AJ29" i="31"/>
  <c r="AG29" i="31"/>
  <c r="AD29" i="31"/>
  <c r="AA29" i="31"/>
  <c r="X29" i="31"/>
  <c r="U29" i="31"/>
  <c r="R29" i="31"/>
  <c r="P29" i="31"/>
  <c r="O29" i="31"/>
  <c r="M29" i="31"/>
  <c r="N29" i="31" s="1"/>
  <c r="DA28" i="31"/>
  <c r="CX28" i="31"/>
  <c r="CU28" i="31"/>
  <c r="CR28" i="31"/>
  <c r="CO28" i="31"/>
  <c r="CL28" i="31"/>
  <c r="CI28" i="31"/>
  <c r="CF28" i="31"/>
  <c r="CC28" i="31"/>
  <c r="BZ28" i="31"/>
  <c r="BW28" i="31"/>
  <c r="BT28" i="31"/>
  <c r="BQ28" i="31"/>
  <c r="BN28" i="31"/>
  <c r="BK28" i="31"/>
  <c r="BH28" i="31"/>
  <c r="BE28" i="31"/>
  <c r="BB28" i="31"/>
  <c r="AY28" i="31"/>
  <c r="AV28" i="31"/>
  <c r="AS28" i="31"/>
  <c r="AP28" i="31"/>
  <c r="AM28" i="31"/>
  <c r="AJ28" i="31"/>
  <c r="AG28" i="31"/>
  <c r="AD28" i="31"/>
  <c r="AA28" i="31"/>
  <c r="X28" i="31"/>
  <c r="U28" i="31"/>
  <c r="R28" i="31"/>
  <c r="P28" i="31"/>
  <c r="O28" i="31"/>
  <c r="M28" i="31"/>
  <c r="N28" i="31" s="1"/>
  <c r="DA27" i="31"/>
  <c r="CX27" i="31"/>
  <c r="CU27" i="31"/>
  <c r="CR27" i="31"/>
  <c r="CO27" i="31"/>
  <c r="CL27" i="31"/>
  <c r="CI27" i="31"/>
  <c r="CF27" i="31"/>
  <c r="CC27" i="31"/>
  <c r="BZ27" i="31"/>
  <c r="BW27" i="31"/>
  <c r="BT27" i="31"/>
  <c r="BQ27" i="31"/>
  <c r="BN27" i="31"/>
  <c r="BK27" i="31"/>
  <c r="BH27" i="31"/>
  <c r="BE27" i="31"/>
  <c r="BB27" i="31"/>
  <c r="AY27" i="31"/>
  <c r="AV27" i="31"/>
  <c r="AS27" i="31"/>
  <c r="AP27" i="31"/>
  <c r="AM27" i="31"/>
  <c r="AJ27" i="31"/>
  <c r="AG27" i="31"/>
  <c r="AD27" i="31"/>
  <c r="AA27" i="31"/>
  <c r="X27" i="31"/>
  <c r="U27" i="31"/>
  <c r="R27" i="31"/>
  <c r="P27" i="31"/>
  <c r="O27" i="31"/>
  <c r="M27" i="31"/>
  <c r="N27" i="31" s="1"/>
  <c r="DA26" i="31"/>
  <c r="CX26" i="31"/>
  <c r="CU26" i="31"/>
  <c r="CR26" i="31"/>
  <c r="CO26" i="31"/>
  <c r="CL26" i="31"/>
  <c r="CI26" i="31"/>
  <c r="CF26" i="31"/>
  <c r="CC26" i="31"/>
  <c r="BZ26" i="31"/>
  <c r="BW26" i="31"/>
  <c r="BT26" i="31"/>
  <c r="BQ26" i="31"/>
  <c r="BN26" i="31"/>
  <c r="BK26" i="31"/>
  <c r="BH26" i="31"/>
  <c r="BE26" i="31"/>
  <c r="BB26" i="31"/>
  <c r="AY26" i="31"/>
  <c r="AV26" i="31"/>
  <c r="AS26" i="31"/>
  <c r="AP26" i="31"/>
  <c r="AM26" i="31"/>
  <c r="AJ26" i="31"/>
  <c r="AG26" i="31"/>
  <c r="AD26" i="31"/>
  <c r="AA26" i="31"/>
  <c r="X26" i="31"/>
  <c r="U26" i="31"/>
  <c r="R26" i="31"/>
  <c r="P26" i="31"/>
  <c r="O26" i="31"/>
  <c r="M26" i="31"/>
  <c r="N26" i="31" s="1"/>
  <c r="DA25" i="31"/>
  <c r="CX25" i="31"/>
  <c r="CU25" i="31"/>
  <c r="CR25" i="31"/>
  <c r="CO25" i="31"/>
  <c r="CL25" i="31"/>
  <c r="CI25" i="31"/>
  <c r="CF25" i="31"/>
  <c r="CC25" i="31"/>
  <c r="BZ25" i="31"/>
  <c r="BW25" i="31"/>
  <c r="BT25" i="31"/>
  <c r="BQ25" i="31"/>
  <c r="BN25" i="31"/>
  <c r="BK25" i="31"/>
  <c r="BH25" i="31"/>
  <c r="BE25" i="31"/>
  <c r="BB25" i="31"/>
  <c r="AY25" i="31"/>
  <c r="AV25" i="31"/>
  <c r="AS25" i="31"/>
  <c r="AP25" i="31"/>
  <c r="AM25" i="31"/>
  <c r="AJ25" i="31"/>
  <c r="AG25" i="31"/>
  <c r="AD25" i="31"/>
  <c r="AA25" i="31"/>
  <c r="X25" i="31"/>
  <c r="U25" i="31"/>
  <c r="R25" i="31"/>
  <c r="P25" i="31"/>
  <c r="O25" i="31"/>
  <c r="M25" i="31"/>
  <c r="N25" i="31" s="1"/>
  <c r="BZ24" i="31"/>
  <c r="BW24" i="31"/>
  <c r="BT24" i="31"/>
  <c r="BQ24" i="31"/>
  <c r="BN24" i="31"/>
  <c r="BK24" i="31"/>
  <c r="BH24" i="31"/>
  <c r="BE24" i="31"/>
  <c r="BB24" i="31"/>
  <c r="AY24" i="31"/>
  <c r="AV24" i="31"/>
  <c r="AS24" i="31"/>
  <c r="AP24" i="31"/>
  <c r="AM24" i="31"/>
  <c r="AJ24" i="31"/>
  <c r="AG24" i="31"/>
  <c r="AD24" i="31"/>
  <c r="AA24" i="31"/>
  <c r="X24" i="31"/>
  <c r="U24" i="31"/>
  <c r="R24" i="31"/>
  <c r="P24" i="31"/>
  <c r="O24" i="31"/>
  <c r="DA23" i="31"/>
  <c r="CX23" i="31"/>
  <c r="CU23" i="31"/>
  <c r="CR23" i="31"/>
  <c r="CO23" i="31"/>
  <c r="CL23" i="31"/>
  <c r="CI23" i="31"/>
  <c r="CF23" i="31"/>
  <c r="CC23" i="31"/>
  <c r="BZ23" i="31"/>
  <c r="BW23" i="31"/>
  <c r="BT23" i="31"/>
  <c r="BQ23" i="31"/>
  <c r="BN23" i="31"/>
  <c r="BK23" i="31"/>
  <c r="BH23" i="31"/>
  <c r="BE23" i="31"/>
  <c r="BB23" i="31"/>
  <c r="AY23" i="31"/>
  <c r="AV23" i="31"/>
  <c r="AS23" i="31"/>
  <c r="AP23" i="31"/>
  <c r="AM23" i="31"/>
  <c r="AJ23" i="31"/>
  <c r="AG23" i="31"/>
  <c r="AD23" i="31"/>
  <c r="AA23" i="31"/>
  <c r="X23" i="31"/>
  <c r="U23" i="31"/>
  <c r="R23" i="31"/>
  <c r="P23" i="31"/>
  <c r="O23" i="31"/>
  <c r="M23" i="31"/>
  <c r="N23" i="31" s="1"/>
  <c r="BZ22" i="31"/>
  <c r="BW22" i="31"/>
  <c r="BT22" i="31"/>
  <c r="BQ22" i="31"/>
  <c r="BN22" i="31"/>
  <c r="BK22" i="31"/>
  <c r="P22" i="31"/>
  <c r="O22" i="31"/>
  <c r="BZ21" i="31"/>
  <c r="BW21" i="31"/>
  <c r="BT21" i="31"/>
  <c r="BQ21" i="31"/>
  <c r="BN21" i="31"/>
  <c r="BK21" i="31"/>
  <c r="P21" i="31"/>
  <c r="O21" i="31"/>
  <c r="BZ20" i="31"/>
  <c r="BW20" i="31"/>
  <c r="BT20" i="31"/>
  <c r="BQ20" i="31"/>
  <c r="BN20" i="31"/>
  <c r="BK20" i="31"/>
  <c r="P20" i="31"/>
  <c r="O20" i="31"/>
  <c r="BZ19" i="31"/>
  <c r="BW19" i="31"/>
  <c r="BT19" i="31"/>
  <c r="BQ19" i="31"/>
  <c r="BN19" i="31"/>
  <c r="BK19" i="31"/>
  <c r="P19" i="31"/>
  <c r="O19" i="31"/>
  <c r="DA18" i="31"/>
  <c r="CX18" i="31"/>
  <c r="CU18" i="31"/>
  <c r="CR18" i="31"/>
  <c r="CO18" i="31"/>
  <c r="CL18" i="31"/>
  <c r="CI18" i="31"/>
  <c r="CF18" i="31"/>
  <c r="CC18" i="31"/>
  <c r="BZ18" i="31"/>
  <c r="BW18" i="31"/>
  <c r="BT18" i="31"/>
  <c r="BQ18" i="31"/>
  <c r="BN18" i="31"/>
  <c r="BK18" i="31"/>
  <c r="BH18" i="31"/>
  <c r="BE18" i="31"/>
  <c r="AY18" i="31"/>
  <c r="AV18" i="31"/>
  <c r="AS18" i="31"/>
  <c r="AP18" i="31"/>
  <c r="AM18" i="31"/>
  <c r="AJ18" i="31"/>
  <c r="AG18" i="31"/>
  <c r="AD18" i="31"/>
  <c r="AA18" i="31"/>
  <c r="X18" i="31"/>
  <c r="U18" i="31"/>
  <c r="R18" i="31"/>
  <c r="P18" i="31"/>
  <c r="O18" i="31"/>
  <c r="DA17" i="31"/>
  <c r="CX17" i="31"/>
  <c r="CU17" i="31"/>
  <c r="CR17" i="31"/>
  <c r="CO17" i="31"/>
  <c r="CL17" i="31"/>
  <c r="CI17" i="31"/>
  <c r="CF17" i="31"/>
  <c r="CC17" i="31"/>
  <c r="BZ17" i="31"/>
  <c r="BW17" i="31"/>
  <c r="BT17" i="31"/>
  <c r="BQ17" i="31"/>
  <c r="BN17" i="31"/>
  <c r="BK17" i="31"/>
  <c r="BH17" i="31"/>
  <c r="BE17" i="31"/>
  <c r="BB17" i="31"/>
  <c r="AY17" i="31"/>
  <c r="AV17" i="31"/>
  <c r="AS17" i="31"/>
  <c r="AP17" i="31"/>
  <c r="AM17" i="31"/>
  <c r="AJ17" i="31"/>
  <c r="AG17" i="31"/>
  <c r="AD17" i="31"/>
  <c r="AA17" i="31"/>
  <c r="X17" i="31"/>
  <c r="U17" i="31"/>
  <c r="R17" i="31"/>
  <c r="P17" i="31"/>
  <c r="O17" i="31"/>
  <c r="M17" i="31"/>
  <c r="N17" i="31" s="1"/>
  <c r="DA16" i="31"/>
  <c r="CX16" i="31"/>
  <c r="CU16" i="31"/>
  <c r="CR16" i="31"/>
  <c r="CO16" i="31"/>
  <c r="CL16" i="31"/>
  <c r="CI16" i="31"/>
  <c r="CF16" i="31"/>
  <c r="CC16" i="31"/>
  <c r="BZ16" i="31"/>
  <c r="BW16" i="31"/>
  <c r="BT16" i="31"/>
  <c r="BQ16" i="31"/>
  <c r="BN16" i="31"/>
  <c r="BK16" i="31"/>
  <c r="BH16" i="31"/>
  <c r="BE16" i="31"/>
  <c r="BB16" i="31"/>
  <c r="AY16" i="31"/>
  <c r="AV16" i="31"/>
  <c r="AS16" i="31"/>
  <c r="AP16" i="31"/>
  <c r="AM16" i="31"/>
  <c r="AJ16" i="31"/>
  <c r="AG16" i="31"/>
  <c r="AD16" i="31"/>
  <c r="AA16" i="31"/>
  <c r="X16" i="31"/>
  <c r="U16" i="31"/>
  <c r="R16" i="31"/>
  <c r="P16" i="31"/>
  <c r="O16" i="31"/>
  <c r="M16" i="31"/>
  <c r="N16" i="31" s="1"/>
  <c r="DA15" i="31"/>
  <c r="CX15" i="31"/>
  <c r="CU15" i="31"/>
  <c r="CR15" i="31"/>
  <c r="CO15" i="31"/>
  <c r="CL15" i="31"/>
  <c r="CI15" i="31"/>
  <c r="CF15" i="31"/>
  <c r="CC15" i="31"/>
  <c r="BZ15" i="31"/>
  <c r="BW15" i="31"/>
  <c r="BT15" i="31"/>
  <c r="BQ15" i="31"/>
  <c r="BN15" i="31"/>
  <c r="BK15" i="31"/>
  <c r="BH15" i="31"/>
  <c r="BE15" i="31"/>
  <c r="BB15" i="31"/>
  <c r="AY15" i="31"/>
  <c r="AV15" i="31"/>
  <c r="AS15" i="31"/>
  <c r="AP15" i="31"/>
  <c r="AM15" i="31"/>
  <c r="AJ15" i="31"/>
  <c r="AG15" i="31"/>
  <c r="AD15" i="31"/>
  <c r="AA15" i="31"/>
  <c r="X15" i="31"/>
  <c r="U15" i="31"/>
  <c r="R15" i="31"/>
  <c r="P15" i="31"/>
  <c r="O15" i="31"/>
  <c r="M15" i="31"/>
  <c r="N15" i="31" s="1"/>
  <c r="DA14" i="31"/>
  <c r="CX14" i="31"/>
  <c r="CU14" i="31"/>
  <c r="CR14" i="31"/>
  <c r="CO14" i="31"/>
  <c r="CL14" i="31"/>
  <c r="CI14" i="31"/>
  <c r="CF14" i="31"/>
  <c r="CC14" i="31"/>
  <c r="BZ14" i="31"/>
  <c r="BW14" i="31"/>
  <c r="BT14" i="31"/>
  <c r="BQ14" i="31"/>
  <c r="BN14" i="31"/>
  <c r="BK14" i="31"/>
  <c r="BH14" i="31"/>
  <c r="BE14" i="31"/>
  <c r="BB14" i="31"/>
  <c r="AY14" i="31"/>
  <c r="AV14" i="31"/>
  <c r="AS14" i="31"/>
  <c r="AP14" i="31"/>
  <c r="AM14" i="31"/>
  <c r="AJ14" i="31"/>
  <c r="AG14" i="31"/>
  <c r="AD14" i="31"/>
  <c r="AA14" i="31"/>
  <c r="X14" i="31"/>
  <c r="U14" i="31"/>
  <c r="R14" i="31"/>
  <c r="P14" i="31"/>
  <c r="O14" i="31"/>
  <c r="M14" i="31"/>
  <c r="N14" i="31" s="1"/>
  <c r="DA13" i="31"/>
  <c r="CX13" i="31"/>
  <c r="CU13" i="31"/>
  <c r="CR13" i="31"/>
  <c r="CO13" i="31"/>
  <c r="CL13" i="31"/>
  <c r="CI13" i="31"/>
  <c r="CF13" i="31"/>
  <c r="CC13" i="31"/>
  <c r="BZ13" i="31"/>
  <c r="BW13" i="31"/>
  <c r="BT13" i="31"/>
  <c r="BQ13" i="31"/>
  <c r="BN13" i="31"/>
  <c r="BK13" i="31"/>
  <c r="BH13" i="31"/>
  <c r="BE13" i="31"/>
  <c r="BB13" i="31"/>
  <c r="AY13" i="31"/>
  <c r="AV13" i="31"/>
  <c r="AS13" i="31"/>
  <c r="AP13" i="31"/>
  <c r="AM13" i="31"/>
  <c r="AJ13" i="31"/>
  <c r="AG13" i="31"/>
  <c r="AD13" i="31"/>
  <c r="AA13" i="31"/>
  <c r="X13" i="31"/>
  <c r="U13" i="31"/>
  <c r="R13" i="31"/>
  <c r="P13" i="31"/>
  <c r="O13" i="31"/>
  <c r="M13" i="31"/>
  <c r="N13" i="31" s="1"/>
  <c r="DA12" i="31"/>
  <c r="CX12" i="31"/>
  <c r="CU12" i="31"/>
  <c r="CR12" i="31"/>
  <c r="CO12" i="31"/>
  <c r="CL12" i="31"/>
  <c r="CI12" i="31"/>
  <c r="CF12" i="31"/>
  <c r="CC12" i="31"/>
  <c r="BZ12" i="31"/>
  <c r="BW12" i="31"/>
  <c r="BT12" i="31"/>
  <c r="BQ12" i="31"/>
  <c r="BN12" i="31"/>
  <c r="BK12" i="31"/>
  <c r="BH12" i="31"/>
  <c r="BE12" i="31"/>
  <c r="BB12" i="31"/>
  <c r="AY12" i="31"/>
  <c r="AV12" i="31"/>
  <c r="AS12" i="31"/>
  <c r="AP12" i="31"/>
  <c r="AM12" i="31"/>
  <c r="AJ12" i="31"/>
  <c r="AG12" i="31"/>
  <c r="AD12" i="31"/>
  <c r="AA12" i="31"/>
  <c r="X12" i="31"/>
  <c r="U12" i="31"/>
  <c r="R12" i="31"/>
  <c r="P12" i="31"/>
  <c r="O12" i="31"/>
  <c r="M12" i="31"/>
  <c r="N12" i="31" s="1"/>
  <c r="DA11" i="31"/>
  <c r="CX11" i="31"/>
  <c r="CU11" i="31"/>
  <c r="CR11" i="31"/>
  <c r="CO11" i="31"/>
  <c r="CL11" i="31"/>
  <c r="CI11" i="31"/>
  <c r="CF11" i="31"/>
  <c r="CC11" i="31"/>
  <c r="BZ11" i="31"/>
  <c r="BW11" i="31"/>
  <c r="BT11" i="31"/>
  <c r="BQ11" i="31"/>
  <c r="BN11" i="31"/>
  <c r="BK11" i="31"/>
  <c r="BH11" i="31"/>
  <c r="BE11" i="31"/>
  <c r="BB11" i="31"/>
  <c r="AY11" i="31"/>
  <c r="AV11" i="31"/>
  <c r="AS11" i="31"/>
  <c r="AP11" i="31"/>
  <c r="AM11" i="31"/>
  <c r="AJ11" i="31"/>
  <c r="AG11" i="31"/>
  <c r="AD11" i="31"/>
  <c r="AA11" i="31"/>
  <c r="X11" i="31"/>
  <c r="U11" i="31"/>
  <c r="R11" i="31"/>
  <c r="P11" i="31"/>
  <c r="O11" i="31"/>
  <c r="M11" i="31"/>
  <c r="N11" i="31" s="1"/>
  <c r="DA10" i="31"/>
  <c r="CX10" i="31"/>
  <c r="CU10" i="31"/>
  <c r="CR10" i="31"/>
  <c r="CO10" i="31"/>
  <c r="CL10" i="31"/>
  <c r="CI10" i="31"/>
  <c r="CF10" i="31"/>
  <c r="CC10" i="31"/>
  <c r="BZ10" i="31"/>
  <c r="BW10" i="31"/>
  <c r="BT10" i="31"/>
  <c r="BQ10" i="31"/>
  <c r="BN10" i="31"/>
  <c r="BK10" i="31"/>
  <c r="BH10" i="31"/>
  <c r="BE10" i="31"/>
  <c r="BB10" i="31"/>
  <c r="AY10" i="31"/>
  <c r="AV10" i="31"/>
  <c r="AS10" i="31"/>
  <c r="AP10" i="31"/>
  <c r="AM10" i="31"/>
  <c r="AJ10" i="31"/>
  <c r="AG10" i="31"/>
  <c r="AD10" i="31"/>
  <c r="AA10" i="31"/>
  <c r="X10" i="31"/>
  <c r="U10" i="31"/>
  <c r="R10" i="31"/>
  <c r="P10" i="31"/>
  <c r="O10" i="31"/>
  <c r="M10" i="31"/>
  <c r="DA9" i="31"/>
  <c r="CX9" i="31"/>
  <c r="CU9" i="31"/>
  <c r="CR9" i="31"/>
  <c r="CO9" i="31"/>
  <c r="CL9" i="31"/>
  <c r="CI9" i="31"/>
  <c r="CF9" i="31"/>
  <c r="CC9" i="31"/>
  <c r="BZ9" i="31"/>
  <c r="BW9" i="31"/>
  <c r="BT9" i="31"/>
  <c r="BQ9" i="31"/>
  <c r="BN9" i="31"/>
  <c r="BK9" i="31"/>
  <c r="BH9" i="31"/>
  <c r="BE9" i="31"/>
  <c r="BB9" i="31"/>
  <c r="AY9" i="31"/>
  <c r="AV9" i="31"/>
  <c r="AS9" i="31"/>
  <c r="AP9" i="31"/>
  <c r="AM9" i="31"/>
  <c r="AJ9" i="31"/>
  <c r="AG9" i="31"/>
  <c r="AD9" i="31"/>
  <c r="AA9" i="31"/>
  <c r="X9" i="31"/>
  <c r="U9" i="31"/>
  <c r="R9" i="31"/>
  <c r="P9" i="31"/>
  <c r="O9" i="31"/>
  <c r="M9" i="31"/>
  <c r="N9" i="31" s="1"/>
  <c r="DA8" i="31"/>
  <c r="CX8" i="31"/>
  <c r="CU8" i="31"/>
  <c r="CR8" i="31"/>
  <c r="CO8" i="31"/>
  <c r="CL8" i="31"/>
  <c r="CI8" i="31"/>
  <c r="CF8" i="31"/>
  <c r="CC8" i="31"/>
  <c r="BZ8" i="31"/>
  <c r="BW8" i="31"/>
  <c r="BT8" i="31"/>
  <c r="BQ8" i="31"/>
  <c r="BN8" i="31"/>
  <c r="BK8" i="31"/>
  <c r="BH8" i="31"/>
  <c r="BE8" i="31"/>
  <c r="BB8" i="31"/>
  <c r="AY8" i="31"/>
  <c r="AV8" i="31"/>
  <c r="AS8" i="31"/>
  <c r="AP8" i="31"/>
  <c r="AM8" i="31"/>
  <c r="AJ8" i="31"/>
  <c r="AG8" i="31"/>
  <c r="AD8" i="31"/>
  <c r="AA8" i="31"/>
  <c r="X8" i="31"/>
  <c r="U8" i="31"/>
  <c r="R8" i="31"/>
  <c r="P8" i="31"/>
  <c r="O8" i="31"/>
  <c r="M8" i="31"/>
  <c r="N8" i="31" s="1"/>
  <c r="DA7" i="31"/>
  <c r="CX7" i="31"/>
  <c r="CU7" i="31"/>
  <c r="CR7" i="31"/>
  <c r="CO7" i="31"/>
  <c r="CL7" i="31"/>
  <c r="CI7" i="31"/>
  <c r="CF7" i="31"/>
  <c r="CC7" i="31"/>
  <c r="BZ7" i="31"/>
  <c r="BW7" i="31"/>
  <c r="BT7" i="31"/>
  <c r="BQ7" i="31"/>
  <c r="BN7" i="31"/>
  <c r="BK7" i="31"/>
  <c r="BH7" i="31"/>
  <c r="BE7" i="31"/>
  <c r="BB7" i="31"/>
  <c r="AY7" i="31"/>
  <c r="AV7" i="31"/>
  <c r="AS7" i="31"/>
  <c r="AP7" i="31"/>
  <c r="AM7" i="31"/>
  <c r="AJ7" i="31"/>
  <c r="AG7" i="31"/>
  <c r="AD7" i="31"/>
  <c r="AA7" i="31"/>
  <c r="X7" i="31"/>
  <c r="U7" i="31"/>
  <c r="R7" i="31"/>
  <c r="P7" i="31"/>
  <c r="O7" i="31"/>
  <c r="M7" i="31"/>
  <c r="N7" i="31" s="1"/>
  <c r="DA6" i="31"/>
  <c r="CX6" i="31"/>
  <c r="CU6" i="31"/>
  <c r="CR6" i="31"/>
  <c r="CO6" i="31"/>
  <c r="CL6" i="31"/>
  <c r="CI6" i="31"/>
  <c r="CF6" i="31"/>
  <c r="CC6" i="31"/>
  <c r="BZ6" i="31"/>
  <c r="BW6" i="31"/>
  <c r="BT6" i="31"/>
  <c r="BQ6" i="31"/>
  <c r="BN6" i="31"/>
  <c r="BK6" i="31"/>
  <c r="BH6" i="31"/>
  <c r="BE6" i="31"/>
  <c r="BB6" i="31"/>
  <c r="AY6" i="31"/>
  <c r="AV6" i="31"/>
  <c r="AS6" i="31"/>
  <c r="AP6" i="31"/>
  <c r="AM6" i="31"/>
  <c r="AJ6" i="31"/>
  <c r="AG6" i="31"/>
  <c r="AD6" i="31"/>
  <c r="AA6" i="31"/>
  <c r="X6" i="31"/>
  <c r="U6" i="31"/>
  <c r="R6" i="31"/>
  <c r="P6" i="31"/>
  <c r="O6" i="31"/>
  <c r="M6" i="31"/>
  <c r="N6" i="31" s="1"/>
  <c r="DA5" i="31"/>
  <c r="CX5" i="31"/>
  <c r="CU5" i="31"/>
  <c r="CR5" i="31"/>
  <c r="CO5" i="31"/>
  <c r="CL5" i="31"/>
  <c r="CI5" i="31"/>
  <c r="CF5" i="31"/>
  <c r="CC5" i="31"/>
  <c r="BZ5" i="31"/>
  <c r="BW5" i="31"/>
  <c r="BT5" i="31"/>
  <c r="BQ5" i="31"/>
  <c r="BN5" i="31"/>
  <c r="BK5" i="31"/>
  <c r="BH5" i="31"/>
  <c r="BE5" i="31"/>
  <c r="BB5" i="31"/>
  <c r="AY5" i="31"/>
  <c r="AV5" i="31"/>
  <c r="AS5" i="31"/>
  <c r="AP5" i="31"/>
  <c r="AM5" i="31"/>
  <c r="AJ5" i="31"/>
  <c r="AG5" i="31"/>
  <c r="AD5" i="31"/>
  <c r="AA5" i="31"/>
  <c r="X5" i="31"/>
  <c r="U5" i="31"/>
  <c r="R5" i="31"/>
  <c r="P5" i="31"/>
  <c r="O5" i="31"/>
  <c r="M5" i="31"/>
  <c r="N5" i="31" s="1"/>
  <c r="DA4" i="31"/>
  <c r="CX4" i="31"/>
  <c r="CU4" i="31"/>
  <c r="CR4" i="31"/>
  <c r="CO4" i="31"/>
  <c r="CL4" i="31"/>
  <c r="CI4" i="31"/>
  <c r="CF4" i="31"/>
  <c r="CC4" i="31"/>
  <c r="BZ4" i="31"/>
  <c r="BW4" i="31"/>
  <c r="BT4" i="31"/>
  <c r="BQ4" i="31"/>
  <c r="BN4" i="31"/>
  <c r="BK4" i="31"/>
  <c r="BH4" i="31"/>
  <c r="BE4" i="31"/>
  <c r="BB4" i="31"/>
  <c r="AY4" i="31"/>
  <c r="AV4" i="31"/>
  <c r="AS4" i="31"/>
  <c r="AP4" i="31"/>
  <c r="AM4" i="31"/>
  <c r="AJ4" i="31"/>
  <c r="AG4" i="31"/>
  <c r="AD4" i="31"/>
  <c r="AD58" i="31" s="1"/>
  <c r="AA4" i="31"/>
  <c r="AA57" i="31" s="1"/>
  <c r="X4" i="31"/>
  <c r="X57" i="31" s="1"/>
  <c r="U4" i="31"/>
  <c r="U58" i="31" s="1"/>
  <c r="R4" i="31"/>
  <c r="R58" i="31" s="1"/>
  <c r="P4" i="31"/>
  <c r="O4" i="31"/>
  <c r="M4" i="31"/>
  <c r="N4" i="31" s="1"/>
  <c r="P58" i="31" l="1"/>
  <c r="P57" i="31"/>
  <c r="O57" i="31"/>
  <c r="AM57" i="31"/>
  <c r="AJ57" i="31"/>
  <c r="AG57" i="31"/>
  <c r="DA58" i="31"/>
  <c r="CX59" i="31"/>
  <c r="CU59" i="31"/>
  <c r="CR59" i="31"/>
  <c r="CO58" i="31"/>
  <c r="CL58" i="31"/>
  <c r="CI57" i="31"/>
  <c r="CF57" i="31"/>
  <c r="CC58" i="31"/>
  <c r="BZ59" i="31"/>
  <c r="BW57" i="31"/>
  <c r="BT57" i="31"/>
  <c r="BQ58" i="31"/>
  <c r="BN59" i="31"/>
  <c r="BK59" i="31"/>
  <c r="BH59" i="31"/>
  <c r="BE58" i="31"/>
  <c r="BB58" i="31"/>
  <c r="AY57" i="31"/>
  <c r="AV57" i="31"/>
  <c r="AS58" i="31"/>
  <c r="AP58" i="31"/>
  <c r="N10" i="31"/>
  <c r="N57" i="31" s="1"/>
  <c r="M57" i="31"/>
  <c r="R57" i="31"/>
  <c r="AD57" i="31"/>
  <c r="AP57" i="31"/>
  <c r="BB57" i="31"/>
  <c r="BN57" i="31"/>
  <c r="BZ57" i="31"/>
  <c r="CL57" i="31"/>
  <c r="CX57" i="31"/>
  <c r="X58" i="31"/>
  <c r="AJ58" i="31"/>
  <c r="AV58" i="31"/>
  <c r="BH58" i="31"/>
  <c r="BT58" i="31"/>
  <c r="CF58" i="31"/>
  <c r="CR58" i="31"/>
  <c r="AY59" i="31"/>
  <c r="BQ59" i="31"/>
  <c r="CI59" i="31"/>
  <c r="U57" i="31"/>
  <c r="AS57" i="31"/>
  <c r="BE57" i="31"/>
  <c r="BQ57" i="31"/>
  <c r="CC57" i="31"/>
  <c r="CO57" i="31"/>
  <c r="DA57" i="31"/>
  <c r="BB59" i="31"/>
  <c r="BT59" i="31"/>
  <c r="CL59" i="31"/>
  <c r="AA58" i="31"/>
  <c r="AM58" i="31"/>
  <c r="AY58" i="31"/>
  <c r="BK58" i="31"/>
  <c r="BW58" i="31"/>
  <c r="CI58" i="31"/>
  <c r="CU58" i="31"/>
  <c r="BE59" i="31"/>
  <c r="BW59" i="31"/>
  <c r="CO59" i="31"/>
  <c r="BH57" i="31"/>
  <c r="CR57" i="31"/>
  <c r="BN58" i="31"/>
  <c r="BZ58" i="31"/>
  <c r="CX58" i="31"/>
  <c r="BK57" i="31"/>
  <c r="CU57" i="31"/>
  <c r="CC59" i="31"/>
</calcChain>
</file>

<file path=xl/sharedStrings.xml><?xml version="1.0" encoding="utf-8"?>
<sst xmlns="http://schemas.openxmlformats.org/spreadsheetml/2006/main" count="269" uniqueCount="123">
  <si>
    <t>BB</t>
  </si>
  <si>
    <t>FFS - 1</t>
  </si>
  <si>
    <t>Alwatani Powder Detergent - Blue HF - 6X2 Kg C</t>
  </si>
  <si>
    <t>Alwatani Powder Detergent - Violet HF - 6X2 Kg C</t>
  </si>
  <si>
    <t>MF</t>
  </si>
  <si>
    <t>FFS - 2</t>
  </si>
  <si>
    <t>UMBRA</t>
  </si>
  <si>
    <t>SIDCO Extra White Powder Detergent - Flower HF - 10 Kg B</t>
  </si>
  <si>
    <t>Total</t>
  </si>
  <si>
    <t>M/C</t>
  </si>
  <si>
    <t>D. Rate</t>
  </si>
  <si>
    <t>Desc.</t>
  </si>
  <si>
    <t>Code</t>
  </si>
  <si>
    <t>Pack.</t>
  </si>
  <si>
    <t>EXTRA WHITE HIGH FOAM  (ORIGINAL) 6 × 1.5 KG</t>
  </si>
  <si>
    <t>EXTRA WHITE HIGH FOAM  (FLOWER) 6 × 1.5 KG</t>
  </si>
  <si>
    <t>Prime 16 CHC Powder - 20 Kg B</t>
  </si>
  <si>
    <t>Manual</t>
  </si>
  <si>
    <t>PRIME 500 DET. POWDER * 16 KG</t>
  </si>
  <si>
    <t>EXTRAWHITE LF ORIGINAL 2*7 KG</t>
  </si>
  <si>
    <t>EXTRAWHITE LF FLOWER 2*7 KG</t>
  </si>
  <si>
    <t>MED  Powder Detergent -  HF -  10 + 1 Kg B</t>
  </si>
  <si>
    <t>FFS - 4</t>
  </si>
  <si>
    <t>Gento  Flower LF - 2 x 7 Kg B</t>
  </si>
  <si>
    <t>Gento  Original LF - 2 x 7 Kg B</t>
  </si>
  <si>
    <t>SIDCO Extra White Powder Detergent Flower LF - 2 x 5 Kg B</t>
  </si>
  <si>
    <t>SIDCO Extra White Powder Detergent Original LF - 2 x 5 Kg B</t>
  </si>
  <si>
    <t>Soda Ash 25KG</t>
  </si>
  <si>
    <t>Ton</t>
  </si>
  <si>
    <t>Number</t>
  </si>
  <si>
    <t>Description</t>
  </si>
  <si>
    <t>Fri</t>
  </si>
  <si>
    <t>GENTO POWDER HF ORIGINAL DC 2.25 KG</t>
  </si>
  <si>
    <t>GENTO POWDER H.F. OUD AO 2.25 KG</t>
  </si>
  <si>
    <t>GENTO GREEN POWDER LF FLOWER EL 2.25 KG</t>
  </si>
  <si>
    <t>GENTO GREEN POWDER LF OUD AO 2.25 KG</t>
  </si>
  <si>
    <t>GENTO POWDER LF GREEN  ORIGINAL DC 2.25KG</t>
  </si>
  <si>
    <t>GENTO POWDER LF OUD AO 4.5 KG</t>
  </si>
  <si>
    <t>tue</t>
  </si>
  <si>
    <t>wed</t>
  </si>
  <si>
    <t>thur</t>
  </si>
  <si>
    <t>GENTO POWDER HF OUD AO 4.5 KG</t>
  </si>
  <si>
    <t>Sat</t>
  </si>
  <si>
    <t>Mon</t>
  </si>
  <si>
    <t>Sun</t>
  </si>
  <si>
    <t>STOCK</t>
  </si>
  <si>
    <t>Act</t>
  </si>
  <si>
    <t>ton</t>
  </si>
  <si>
    <t>Total plan</t>
  </si>
  <si>
    <t>total Act</t>
  </si>
  <si>
    <t>BCO</t>
  </si>
  <si>
    <t>branches</t>
  </si>
  <si>
    <t xml:space="preserve"> </t>
  </si>
  <si>
    <t>Q/pallets</t>
  </si>
  <si>
    <t>E-com</t>
  </si>
  <si>
    <t>Total(Ton)</t>
  </si>
  <si>
    <t>add</t>
  </si>
  <si>
    <t xml:space="preserve">Extra White Powder Detergent - Jasmine HF - 6X1.5 Kg </t>
  </si>
  <si>
    <t>GENTO Powder Detergent - Musk HF - 4x2.25 Kg C</t>
  </si>
  <si>
    <t>GENTO Powder Detergent - Elegant HF - 4x2.25 Kg C</t>
  </si>
  <si>
    <t>GENTO Powder Detergent - Green - Musk LF - 4x2.25 Kg C</t>
  </si>
  <si>
    <t>GENTO Powder Detergent - Green - Elegant LF - 4x2.25 Kg C</t>
  </si>
  <si>
    <t>GENTO Powder Detergent - Gold HF - 4x2.25 Kg C</t>
  </si>
  <si>
    <t>GENTO Powder Detergent - Gold LF - 4x2.25 Kg C</t>
  </si>
  <si>
    <t>FFS - 5</t>
  </si>
  <si>
    <t>FFS - 6</t>
  </si>
  <si>
    <t>GENTO Powder Detergent - Elegant HF - 2x4.5 Kg C</t>
  </si>
  <si>
    <t>GENTO Powder Detergent - Green - Elegant LF - 2x4.5 Kg C</t>
  </si>
  <si>
    <t>GENTO Powder Detergent - Green - Gold LF - 2x4.5 Kg C</t>
  </si>
  <si>
    <t>FFS - 8</t>
  </si>
  <si>
    <t>Extra White Powder Flower HF-7+3 Kg B</t>
  </si>
  <si>
    <t>FFS - 9</t>
  </si>
  <si>
    <t>Miza Detergent HS  4 x 2.2.5 Kg</t>
  </si>
  <si>
    <t>Miza Detergent LS  4 x 2.2.5 Kg</t>
  </si>
  <si>
    <t>Tue</t>
  </si>
  <si>
    <t>Wed</t>
  </si>
  <si>
    <t>Thu</t>
  </si>
  <si>
    <t>REX Powder Detergent - HF  6x2.5 Kg</t>
  </si>
  <si>
    <t>REX Powder Detergent - LF  6x2.5 Kg</t>
  </si>
  <si>
    <t>REX Powder Detergent - HF 4x4 Kg</t>
  </si>
  <si>
    <t>REX Powder Detergent - LF 4x4 Kg</t>
  </si>
  <si>
    <t>REX Powder Detergent - LF  2x6 Kg</t>
  </si>
  <si>
    <t>REX Powder Detergent - HF 2x7.5 Kg</t>
  </si>
  <si>
    <t>REX Powder Detergent - LF2x7.5 Kg</t>
  </si>
  <si>
    <t>FRI</t>
  </si>
  <si>
    <t>GENTO Powder Detergent - Original HF - 6X1.25 Kg C</t>
  </si>
  <si>
    <t>GENTO Powder Detergent - Flower HF - 6X1.25 Kg C</t>
  </si>
  <si>
    <t>GENTO Powder Detergent - Oud HF - 6X1.25 Kg C</t>
  </si>
  <si>
    <t>GENTO Powder Detergent - Original LF - 6X1.25 Kg C</t>
  </si>
  <si>
    <t>GENTO Powder Detergent - Flower LF - 6X1.25 Kg C</t>
  </si>
  <si>
    <t>GENTO Powder Detergent - Oud LF - 6X1.25 Kg C</t>
  </si>
  <si>
    <t>GENTO Powder Detergent - Flower HF - 4X2.25 Kg C</t>
  </si>
  <si>
    <t>1,Aug</t>
  </si>
  <si>
    <t>2,Aug</t>
  </si>
  <si>
    <t>3,Aug</t>
  </si>
  <si>
    <t>4,Aug</t>
  </si>
  <si>
    <t>5,Aug</t>
  </si>
  <si>
    <t>6,Aug</t>
  </si>
  <si>
    <t>7,Aug</t>
  </si>
  <si>
    <t>8,Aug</t>
  </si>
  <si>
    <t>9,Aug</t>
  </si>
  <si>
    <t>10,Aug</t>
  </si>
  <si>
    <t>11,Aug</t>
  </si>
  <si>
    <t>12,Aug</t>
  </si>
  <si>
    <t>13,Aug</t>
  </si>
  <si>
    <t>14,Aug</t>
  </si>
  <si>
    <t>15,Aug</t>
  </si>
  <si>
    <t>16,Aug</t>
  </si>
  <si>
    <t>17,Aug</t>
  </si>
  <si>
    <t>18,Aug</t>
  </si>
  <si>
    <t>19,Aug</t>
  </si>
  <si>
    <t>20,Aug</t>
  </si>
  <si>
    <t>21,Aug</t>
  </si>
  <si>
    <t>22,Aug</t>
  </si>
  <si>
    <t>23,Aug</t>
  </si>
  <si>
    <t>24,Aug</t>
  </si>
  <si>
    <t>25,Aug</t>
  </si>
  <si>
    <t>26,Aug</t>
  </si>
  <si>
    <t>27,Aug</t>
  </si>
  <si>
    <t>28,Aug</t>
  </si>
  <si>
    <t>29,Aug</t>
  </si>
  <si>
    <t>30,Aug</t>
  </si>
  <si>
    <t xml:space="preserve">BCO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</si>
</sst>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color rgb="FF002060"/>
      <name val="Calibri"/>
      <family val="2"/>
      <scheme val="minor"/>
    </font>
    <font>
      <sz val="10"/>
      <color theme="1"/>
      <name val="Abadi"/>
      <family val="2"/>
    </font>
    <font>
      <sz val="9"/>
      <color theme="1"/>
      <name val="Abadi"/>
      <family val="2"/>
    </font>
    <font>
      <b/>
      <sz val="9"/>
      <color rgb="FFFF0000"/>
      <name val="Abad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bad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dashed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dash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9" fontId="7" fillId="0" borderId="0" applyFont="0" applyFill="0" applyBorder="0" applyAlignment="0" applyProtection="0"/>
  </cellStyleXfs>
  <cellXfs count="62">
    <xf numFmtId="0" fontId="0" fillId="0" borderId="0" xfId="0"/>
    <xf numFmtId="3" fontId="0" fillId="0" borderId="1" xfId="0" applyNumberForma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0" fillId="4" borderId="3" xfId="0" applyNumberFormat="1" applyFill="1" applyBorder="1" applyAlignment="1">
      <alignment horizontal="center" vertical="center"/>
    </xf>
    <xf numFmtId="3" fontId="0" fillId="3" borderId="3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3" applyNumberFormat="1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0" xfId="0" applyFont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0" fillId="0" borderId="1" xfId="3" applyNumberFormat="1" applyFont="1" applyBorder="1" applyAlignment="1"/>
    <xf numFmtId="0" fontId="0" fillId="0" borderId="1" xfId="3" applyNumberFormat="1" applyFont="1" applyBorder="1" applyAlignment="1">
      <alignment horizontal="center"/>
    </xf>
    <xf numFmtId="3" fontId="5" fillId="5" borderId="2" xfId="0" applyNumberFormat="1" applyFont="1" applyFill="1" applyBorder="1" applyAlignment="1">
      <alignment horizontal="center" vertical="center"/>
    </xf>
    <xf numFmtId="164" fontId="0" fillId="0" borderId="1" xfId="3" applyNumberFormat="1" applyFont="1" applyBorder="1" applyAlignment="1">
      <alignment horizontal="left"/>
    </xf>
    <xf numFmtId="3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7" borderId="1" xfId="3" applyNumberFormat="1" applyFont="1" applyFill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3" fontId="4" fillId="0" borderId="2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3" fontId="4" fillId="4" borderId="3" xfId="0" applyNumberFormat="1" applyFont="1" applyFill="1" applyBorder="1" applyAlignment="1">
      <alignment horizontal="center" vertical="center"/>
    </xf>
    <xf numFmtId="3" fontId="4" fillId="3" borderId="3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4" fillId="2" borderId="0" xfId="0" applyNumberFormat="1" applyFont="1" applyFill="1" applyAlignment="1">
      <alignment horizontal="center"/>
    </xf>
    <xf numFmtId="3" fontId="4" fillId="8" borderId="3" xfId="0" applyNumberFormat="1" applyFont="1" applyFill="1" applyBorder="1" applyAlignment="1">
      <alignment horizontal="center" vertical="center"/>
    </xf>
    <xf numFmtId="3" fontId="4" fillId="8" borderId="0" xfId="0" applyNumberFormat="1" applyFont="1" applyFill="1" applyAlignment="1">
      <alignment horizontal="center"/>
    </xf>
    <xf numFmtId="3" fontId="4" fillId="8" borderId="6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4" fillId="9" borderId="2" xfId="0" applyNumberFormat="1" applyFont="1" applyFill="1" applyBorder="1" applyAlignment="1">
      <alignment horizontal="center"/>
    </xf>
    <xf numFmtId="3" fontId="6" fillId="3" borderId="2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3" fontId="8" fillId="5" borderId="2" xfId="0" applyNumberFormat="1" applyFon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/>
    </xf>
    <xf numFmtId="3" fontId="4" fillId="10" borderId="1" xfId="0" applyNumberFormat="1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/>
    </xf>
    <xf numFmtId="3" fontId="9" fillId="6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3" fontId="9" fillId="3" borderId="1" xfId="0" applyNumberFormat="1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</cellXfs>
  <cellStyles count="6">
    <cellStyle name="Comma" xfId="3" builtinId="3"/>
    <cellStyle name="Comma 2" xfId="1" xr:uid="{00000000-0005-0000-0000-000000000000}"/>
    <cellStyle name="Normal" xfId="0" builtinId="0"/>
    <cellStyle name="Normal 2" xfId="2" xr:uid="{EBC9948F-129F-4321-B652-B386BB096E0D}"/>
    <cellStyle name="Normal 2 2" xfId="4" xr:uid="{8C1FF84B-3613-4A0C-A3ED-52C75ADB280B}"/>
    <cellStyle name="Percent 2" xfId="5" xr:uid="{566CBDAA-EA02-4CE7-A7E8-B7ACBE863C06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DEA4-D747-4781-B69E-B61D69ECED83}">
  <sheetPr filterMode="1">
    <pageSetUpPr fitToPage="1"/>
  </sheetPr>
  <dimension ref="A1:DC59"/>
  <sheetViews>
    <sheetView tabSelected="1" zoomScale="70" zoomScaleNormal="70" workbookViewId="0">
      <pane ySplit="1" topLeftCell="A2" activePane="bottomLeft" state="frozen"/>
      <selection pane="bottomLeft" activeCell="G64" sqref="G64"/>
    </sheetView>
  </sheetViews>
  <sheetFormatPr defaultColWidth="9.26953125" defaultRowHeight="14.5" x14ac:dyDescent="0.35"/>
  <cols>
    <col min="1" max="1" width="12.1796875" style="15" bestFit="1" customWidth="1"/>
    <col min="2" max="2" width="76.81640625" style="15" customWidth="1"/>
    <col min="3" max="3" width="14.7265625" style="15" customWidth="1"/>
    <col min="4" max="4" width="10.26953125" style="15" bestFit="1" customWidth="1"/>
    <col min="5" max="6" width="7.26953125" style="15" customWidth="1"/>
    <col min="7" max="7" width="10.54296875" style="15" customWidth="1"/>
    <col min="8" max="8" width="11.453125" style="15" hidden="1" customWidth="1"/>
    <col min="9" max="9" width="9.26953125" style="15" hidden="1" customWidth="1"/>
    <col min="10" max="12" width="11.54296875" style="15" hidden="1" customWidth="1"/>
    <col min="13" max="13" width="10.7265625" style="15" hidden="1" customWidth="1"/>
    <col min="14" max="14" width="10.81640625" style="15" hidden="1" customWidth="1"/>
    <col min="15" max="15" width="10" style="15" customWidth="1"/>
    <col min="16" max="16" width="8.7265625" style="15" customWidth="1"/>
    <col min="17" max="17" width="8.1796875" style="15" customWidth="1"/>
    <col min="18" max="18" width="10.26953125" style="15" customWidth="1"/>
    <col min="19" max="19" width="10" style="15" customWidth="1"/>
    <col min="20" max="20" width="9.453125" style="15" customWidth="1"/>
    <col min="21" max="21" width="8.7265625" style="15" customWidth="1"/>
    <col min="22" max="22" width="10" style="15" customWidth="1"/>
    <col min="23" max="23" width="8.7265625" style="15" customWidth="1"/>
    <col min="24" max="24" width="9.1796875" style="15" customWidth="1"/>
    <col min="25" max="25" width="10" style="15" customWidth="1"/>
    <col min="26" max="26" width="8.26953125" style="15" bestFit="1" customWidth="1"/>
    <col min="27" max="27" width="5.54296875" style="15" customWidth="1"/>
    <col min="28" max="28" width="6.7265625" style="15" customWidth="1"/>
    <col min="29" max="29" width="8.453125" style="15" customWidth="1"/>
    <col min="30" max="30" width="6.453125" style="15" customWidth="1"/>
    <col min="31" max="31" width="10" style="15" customWidth="1"/>
    <col min="32" max="32" width="8.26953125" style="15" customWidth="1"/>
    <col min="33" max="33" width="6.54296875" style="15" customWidth="1"/>
    <col min="34" max="34" width="7.26953125" style="15" customWidth="1"/>
    <col min="35" max="35" width="11.1796875" style="15" customWidth="1"/>
    <col min="36" max="36" width="6.54296875" style="15" customWidth="1"/>
    <col min="37" max="37" width="7.453125" style="15" customWidth="1"/>
    <col min="38" max="38" width="7.7265625" style="8" customWidth="1"/>
    <col min="39" max="39" width="5.7265625" style="8" customWidth="1"/>
    <col min="40" max="40" width="7" style="8" customWidth="1"/>
    <col min="41" max="41" width="7.54296875" style="8" customWidth="1"/>
    <col min="42" max="42" width="5.7265625" style="8" customWidth="1"/>
    <col min="43" max="43" width="7" style="8" customWidth="1"/>
    <col min="44" max="44" width="7.7265625" style="8" customWidth="1"/>
    <col min="45" max="45" width="5.7265625" style="8" customWidth="1"/>
    <col min="46" max="46" width="6.26953125" style="8" customWidth="1"/>
    <col min="47" max="47" width="9.453125" style="8" hidden="1" customWidth="1"/>
    <col min="48" max="48" width="5.81640625" style="8" hidden="1" customWidth="1"/>
    <col min="49" max="49" width="8.7265625" style="8" hidden="1" customWidth="1"/>
    <col min="50" max="50" width="8.81640625" style="8" hidden="1" customWidth="1"/>
    <col min="51" max="51" width="6.26953125" style="8" hidden="1" customWidth="1"/>
    <col min="52" max="52" width="8.453125" style="8" hidden="1" customWidth="1"/>
    <col min="53" max="53" width="8.1796875" style="8" hidden="1" customWidth="1"/>
    <col min="54" max="54" width="5.81640625" style="8" hidden="1" customWidth="1"/>
    <col min="55" max="55" width="8.7265625" style="8" hidden="1" customWidth="1"/>
    <col min="56" max="56" width="8.26953125" style="8" hidden="1" customWidth="1"/>
    <col min="57" max="57" width="5.81640625" style="8" hidden="1" customWidth="1"/>
    <col min="58" max="58" width="8.26953125" style="8" hidden="1" customWidth="1"/>
    <col min="59" max="59" width="9.1796875" style="8" hidden="1" customWidth="1"/>
    <col min="60" max="60" width="5.7265625" style="8" hidden="1" customWidth="1"/>
    <col min="61" max="62" width="8.26953125" style="8" hidden="1" customWidth="1"/>
    <col min="63" max="63" width="5.7265625" style="8" hidden="1" customWidth="1"/>
    <col min="64" max="64" width="7.54296875" style="8" hidden="1" customWidth="1"/>
    <col min="65" max="65" width="8.1796875" style="8" hidden="1" customWidth="1"/>
    <col min="66" max="66" width="7.453125" style="8" hidden="1" customWidth="1"/>
    <col min="67" max="67" width="8.26953125" style="8" hidden="1" customWidth="1"/>
    <col min="68" max="68" width="8.1796875" hidden="1" customWidth="1"/>
    <col min="69" max="69" width="5.26953125" style="8" hidden="1" customWidth="1"/>
    <col min="70" max="70" width="8.1796875" style="8" hidden="1" customWidth="1"/>
    <col min="71" max="71" width="8.26953125" style="8" hidden="1" customWidth="1"/>
    <col min="72" max="72" width="6.1796875" style="8" hidden="1" customWidth="1"/>
    <col min="73" max="73" width="8.453125" style="8" hidden="1" customWidth="1"/>
    <col min="74" max="74" width="8.7265625" style="8" hidden="1" customWidth="1"/>
    <col min="75" max="75" width="6.453125" style="8" hidden="1" customWidth="1"/>
    <col min="76" max="76" width="8.81640625" style="8" hidden="1" customWidth="1"/>
    <col min="77" max="77" width="9" style="8" hidden="1" customWidth="1"/>
    <col min="78" max="78" width="6.1796875" style="8" hidden="1" customWidth="1"/>
    <col min="79" max="79" width="8.26953125" style="8" hidden="1" customWidth="1"/>
    <col min="80" max="80" width="9" style="8" hidden="1" customWidth="1"/>
    <col min="81" max="81" width="6.1796875" style="8" hidden="1" customWidth="1"/>
    <col min="82" max="82" width="8.26953125" style="8" hidden="1" customWidth="1"/>
    <col min="83" max="83" width="8.1796875" style="8" hidden="1" customWidth="1"/>
    <col min="84" max="84" width="6.453125" style="8" hidden="1" customWidth="1"/>
    <col min="85" max="85" width="8.453125" style="8" hidden="1" customWidth="1"/>
    <col min="86" max="86" width="8.26953125" style="8" hidden="1" customWidth="1"/>
    <col min="87" max="87" width="6.26953125" style="8" hidden="1" customWidth="1"/>
    <col min="88" max="88" width="9.26953125" style="8" hidden="1" customWidth="1"/>
    <col min="89" max="89" width="9.54296875" style="8" hidden="1" customWidth="1"/>
    <col min="90" max="90" width="8.26953125" style="8" hidden="1" customWidth="1"/>
    <col min="91" max="91" width="8.453125" style="8" hidden="1" customWidth="1"/>
    <col min="92" max="92" width="10.453125" style="8" hidden="1" customWidth="1"/>
    <col min="93" max="93" width="8.26953125" style="8" hidden="1" customWidth="1"/>
    <col min="94" max="94" width="8.7265625" style="8" hidden="1" customWidth="1"/>
    <col min="95" max="95" width="8.453125" style="8" hidden="1" customWidth="1"/>
    <col min="96" max="96" width="5.26953125" style="8" hidden="1" customWidth="1"/>
    <col min="97" max="97" width="9.1796875" style="8" hidden="1" customWidth="1"/>
    <col min="98" max="98" width="8.7265625" style="8" hidden="1" customWidth="1"/>
    <col min="99" max="99" width="5.26953125" style="8" hidden="1" customWidth="1"/>
    <col min="100" max="100" width="7.26953125" style="8" hidden="1" customWidth="1"/>
    <col min="101" max="101" width="8.7265625" style="8" hidden="1" customWidth="1"/>
    <col min="102" max="102" width="5.26953125" style="8" hidden="1" customWidth="1"/>
    <col min="103" max="103" width="8.54296875" style="8" hidden="1" customWidth="1"/>
    <col min="104" max="104" width="6.453125" style="8" hidden="1" customWidth="1"/>
    <col min="105" max="105" width="5.26953125" style="8" hidden="1" customWidth="1"/>
    <col min="106" max="106" width="7.81640625" style="15" hidden="1" customWidth="1"/>
    <col min="107" max="16384" width="9.26953125" style="15"/>
  </cols>
  <sheetData>
    <row r="1" spans="1:107" ht="15" thickBot="1" x14ac:dyDescent="0.4">
      <c r="CM1" s="8" t="s">
        <v>52</v>
      </c>
    </row>
    <row r="2" spans="1:107" ht="15" thickTop="1" x14ac:dyDescent="0.35">
      <c r="A2" s="10" t="s">
        <v>29</v>
      </c>
      <c r="B2" s="11" t="s">
        <v>30</v>
      </c>
      <c r="C2" s="44" t="s">
        <v>53</v>
      </c>
      <c r="H2" s="15" t="s">
        <v>45</v>
      </c>
      <c r="M2" s="38"/>
      <c r="N2" s="38"/>
      <c r="Q2" s="11" t="s">
        <v>92</v>
      </c>
      <c r="R2" s="6" t="s">
        <v>47</v>
      </c>
      <c r="S2" s="15" t="s">
        <v>46</v>
      </c>
      <c r="T2" s="11" t="s">
        <v>93</v>
      </c>
      <c r="U2" s="6" t="s">
        <v>47</v>
      </c>
      <c r="V2" s="15" t="s">
        <v>46</v>
      </c>
      <c r="W2" s="11" t="s">
        <v>94</v>
      </c>
      <c r="X2" s="6" t="s">
        <v>47</v>
      </c>
      <c r="Y2" s="15" t="s">
        <v>46</v>
      </c>
      <c r="Z2" s="11" t="s">
        <v>95</v>
      </c>
      <c r="AA2" s="6" t="s">
        <v>47</v>
      </c>
      <c r="AB2" s="15" t="s">
        <v>46</v>
      </c>
      <c r="AC2" s="11" t="s">
        <v>96</v>
      </c>
      <c r="AD2" s="6" t="s">
        <v>47</v>
      </c>
      <c r="AE2" s="15" t="s">
        <v>46</v>
      </c>
      <c r="AF2" s="11" t="s">
        <v>97</v>
      </c>
      <c r="AG2" s="6" t="s">
        <v>47</v>
      </c>
      <c r="AH2" s="15" t="s">
        <v>46</v>
      </c>
      <c r="AI2" s="11" t="s">
        <v>98</v>
      </c>
      <c r="AJ2" s="6" t="s">
        <v>47</v>
      </c>
      <c r="AK2" s="15" t="s">
        <v>46</v>
      </c>
      <c r="AL2" s="11" t="s">
        <v>99</v>
      </c>
      <c r="AM2" s="6" t="s">
        <v>47</v>
      </c>
      <c r="AN2" s="15" t="s">
        <v>46</v>
      </c>
      <c r="AO2" s="11" t="s">
        <v>100</v>
      </c>
      <c r="AP2" s="6" t="s">
        <v>47</v>
      </c>
      <c r="AQ2" s="15" t="s">
        <v>46</v>
      </c>
      <c r="AR2" s="11" t="s">
        <v>101</v>
      </c>
      <c r="AS2" s="6" t="s">
        <v>47</v>
      </c>
      <c r="AT2" s="15" t="s">
        <v>46</v>
      </c>
      <c r="AU2" s="11" t="s">
        <v>102</v>
      </c>
      <c r="AV2" s="6" t="s">
        <v>47</v>
      </c>
      <c r="AW2" s="15" t="s">
        <v>46</v>
      </c>
      <c r="AX2" s="11" t="s">
        <v>103</v>
      </c>
      <c r="AY2" s="6" t="s">
        <v>47</v>
      </c>
      <c r="AZ2" s="15" t="s">
        <v>46</v>
      </c>
      <c r="BA2" s="11" t="s">
        <v>104</v>
      </c>
      <c r="BB2" s="6" t="s">
        <v>47</v>
      </c>
      <c r="BC2" s="15" t="s">
        <v>46</v>
      </c>
      <c r="BD2" s="11" t="s">
        <v>105</v>
      </c>
      <c r="BE2" s="6" t="s">
        <v>47</v>
      </c>
      <c r="BF2" s="15" t="s">
        <v>46</v>
      </c>
      <c r="BG2" s="11" t="s">
        <v>106</v>
      </c>
      <c r="BH2" s="6" t="s">
        <v>47</v>
      </c>
      <c r="BI2" s="15" t="s">
        <v>46</v>
      </c>
      <c r="BJ2" s="11" t="s">
        <v>107</v>
      </c>
      <c r="BK2" s="6" t="s">
        <v>47</v>
      </c>
      <c r="BL2" s="15" t="s">
        <v>46</v>
      </c>
      <c r="BM2" s="11" t="s">
        <v>108</v>
      </c>
      <c r="BN2" s="6" t="s">
        <v>47</v>
      </c>
      <c r="BO2" s="15" t="s">
        <v>46</v>
      </c>
      <c r="BP2" s="11" t="s">
        <v>109</v>
      </c>
      <c r="BQ2" s="6" t="s">
        <v>47</v>
      </c>
      <c r="BR2" s="15" t="s">
        <v>46</v>
      </c>
      <c r="BS2" s="11" t="s">
        <v>110</v>
      </c>
      <c r="BT2" s="6" t="s">
        <v>47</v>
      </c>
      <c r="BU2" s="15" t="s">
        <v>46</v>
      </c>
      <c r="BV2" s="11" t="s">
        <v>111</v>
      </c>
      <c r="BW2" s="6" t="s">
        <v>47</v>
      </c>
      <c r="BX2" s="15" t="s">
        <v>46</v>
      </c>
      <c r="BY2" s="11" t="s">
        <v>112</v>
      </c>
      <c r="BZ2" s="6" t="s">
        <v>47</v>
      </c>
      <c r="CA2" s="15" t="s">
        <v>46</v>
      </c>
      <c r="CB2" s="11" t="s">
        <v>113</v>
      </c>
      <c r="CC2" s="6" t="s">
        <v>47</v>
      </c>
      <c r="CD2" s="15" t="s">
        <v>46</v>
      </c>
      <c r="CE2" s="11" t="s">
        <v>114</v>
      </c>
      <c r="CF2" s="6" t="s">
        <v>47</v>
      </c>
      <c r="CG2" s="15" t="s">
        <v>46</v>
      </c>
      <c r="CH2" s="11" t="s">
        <v>115</v>
      </c>
      <c r="CI2" s="6" t="s">
        <v>47</v>
      </c>
      <c r="CJ2" s="15" t="s">
        <v>46</v>
      </c>
      <c r="CK2" s="11" t="s">
        <v>116</v>
      </c>
      <c r="CL2" s="6" t="s">
        <v>47</v>
      </c>
      <c r="CM2" s="15" t="s">
        <v>46</v>
      </c>
      <c r="CN2" s="11" t="s">
        <v>117</v>
      </c>
      <c r="CO2" s="6" t="s">
        <v>47</v>
      </c>
      <c r="CP2" s="15" t="s">
        <v>46</v>
      </c>
      <c r="CQ2" s="11" t="s">
        <v>118</v>
      </c>
      <c r="CR2" s="6" t="s">
        <v>47</v>
      </c>
      <c r="CS2" s="15" t="s">
        <v>46</v>
      </c>
      <c r="CT2" s="11" t="s">
        <v>119</v>
      </c>
      <c r="CU2" s="6" t="s">
        <v>47</v>
      </c>
      <c r="CV2" s="15" t="s">
        <v>46</v>
      </c>
      <c r="CW2" s="11" t="s">
        <v>120</v>
      </c>
      <c r="CX2" s="6" t="s">
        <v>47</v>
      </c>
      <c r="CY2" s="15" t="s">
        <v>46</v>
      </c>
      <c r="CZ2" s="11" t="s">
        <v>121</v>
      </c>
      <c r="DB2" s="15" t="s">
        <v>46</v>
      </c>
    </row>
    <row r="3" spans="1:107" ht="12.5" customHeight="1" x14ac:dyDescent="0.35">
      <c r="A3" s="16" t="s">
        <v>12</v>
      </c>
      <c r="B3" s="16" t="s">
        <v>11</v>
      </c>
      <c r="C3" s="16"/>
      <c r="D3" s="16" t="s">
        <v>13</v>
      </c>
      <c r="E3" s="16" t="s">
        <v>10</v>
      </c>
      <c r="F3" s="16" t="s">
        <v>122</v>
      </c>
      <c r="G3" s="16" t="s">
        <v>9</v>
      </c>
      <c r="H3" s="25"/>
      <c r="I3" s="37" t="s">
        <v>51</v>
      </c>
      <c r="J3" s="40" t="s">
        <v>54</v>
      </c>
      <c r="K3" s="36" t="s">
        <v>50</v>
      </c>
      <c r="L3" s="36" t="s">
        <v>56</v>
      </c>
      <c r="M3" s="39" t="s">
        <v>8</v>
      </c>
      <c r="N3" s="45" t="s">
        <v>55</v>
      </c>
      <c r="O3" s="25" t="s">
        <v>48</v>
      </c>
      <c r="P3" s="31" t="s">
        <v>49</v>
      </c>
      <c r="Q3" s="8" t="s">
        <v>42</v>
      </c>
      <c r="R3" s="14"/>
      <c r="S3" s="12"/>
      <c r="T3" s="15" t="s">
        <v>44</v>
      </c>
      <c r="U3" s="12" t="s">
        <v>28</v>
      </c>
      <c r="V3" s="12"/>
      <c r="W3" s="15" t="s">
        <v>43</v>
      </c>
      <c r="X3" s="12" t="s">
        <v>28</v>
      </c>
      <c r="Y3" s="12"/>
      <c r="Z3" s="15" t="s">
        <v>38</v>
      </c>
      <c r="AA3" s="12" t="s">
        <v>28</v>
      </c>
      <c r="AB3" s="12"/>
      <c r="AC3" s="15" t="s">
        <v>39</v>
      </c>
      <c r="AD3" s="12" t="s">
        <v>28</v>
      </c>
      <c r="AE3" s="12"/>
      <c r="AF3" s="15" t="s">
        <v>40</v>
      </c>
      <c r="AG3" s="12" t="s">
        <v>28</v>
      </c>
      <c r="AH3" s="12"/>
      <c r="AI3" s="15" t="s">
        <v>84</v>
      </c>
      <c r="AJ3" s="12" t="s">
        <v>28</v>
      </c>
      <c r="AK3" s="12"/>
      <c r="AL3" s="8" t="s">
        <v>42</v>
      </c>
      <c r="AM3" s="14"/>
      <c r="AN3" s="12"/>
      <c r="AO3" s="15" t="s">
        <v>44</v>
      </c>
      <c r="AP3" s="12" t="s">
        <v>28</v>
      </c>
      <c r="AQ3" s="12"/>
      <c r="AR3" s="15" t="s">
        <v>43</v>
      </c>
      <c r="AS3" s="12" t="s">
        <v>28</v>
      </c>
      <c r="AT3" s="12"/>
      <c r="AU3" s="15" t="s">
        <v>38</v>
      </c>
      <c r="AV3" s="12" t="s">
        <v>28</v>
      </c>
      <c r="AW3" s="12"/>
      <c r="AX3" s="15" t="s">
        <v>39</v>
      </c>
      <c r="AY3" s="12" t="s">
        <v>28</v>
      </c>
      <c r="AZ3" s="12"/>
      <c r="BA3" s="15" t="s">
        <v>40</v>
      </c>
      <c r="BB3" s="12" t="s">
        <v>28</v>
      </c>
      <c r="BC3" s="12"/>
      <c r="BD3" s="8" t="s">
        <v>31</v>
      </c>
      <c r="BE3" s="12" t="s">
        <v>28</v>
      </c>
      <c r="BF3" s="12"/>
      <c r="BG3" s="8" t="s">
        <v>42</v>
      </c>
      <c r="BH3" s="12" t="s">
        <v>28</v>
      </c>
      <c r="BI3" s="12"/>
      <c r="BJ3" s="15" t="s">
        <v>44</v>
      </c>
      <c r="BK3" s="12" t="s">
        <v>28</v>
      </c>
      <c r="BL3" s="12"/>
      <c r="BM3" s="15" t="s">
        <v>43</v>
      </c>
      <c r="BN3" s="12" t="s">
        <v>28</v>
      </c>
      <c r="BO3" s="12"/>
      <c r="BP3" s="15" t="s">
        <v>38</v>
      </c>
      <c r="BQ3" s="12" t="s">
        <v>28</v>
      </c>
      <c r="BR3" s="12"/>
      <c r="BS3" s="15" t="s">
        <v>75</v>
      </c>
      <c r="BT3" s="12" t="s">
        <v>28</v>
      </c>
      <c r="BU3" s="12"/>
      <c r="BV3" s="8" t="s">
        <v>76</v>
      </c>
      <c r="BW3" s="12" t="s">
        <v>28</v>
      </c>
      <c r="BX3" s="12"/>
      <c r="BY3" s="8" t="s">
        <v>31</v>
      </c>
      <c r="BZ3" s="12" t="s">
        <v>28</v>
      </c>
      <c r="CA3" s="12"/>
      <c r="CB3" s="8" t="s">
        <v>42</v>
      </c>
      <c r="CC3" s="12" t="s">
        <v>28</v>
      </c>
      <c r="CD3" s="12"/>
      <c r="CE3" s="15" t="s">
        <v>44</v>
      </c>
      <c r="CF3" s="12" t="s">
        <v>28</v>
      </c>
      <c r="CG3" s="12"/>
      <c r="CH3" s="15" t="s">
        <v>43</v>
      </c>
      <c r="CI3" s="12" t="s">
        <v>28</v>
      </c>
      <c r="CJ3" s="12"/>
      <c r="CK3" s="15" t="s">
        <v>74</v>
      </c>
      <c r="CL3" s="12" t="s">
        <v>28</v>
      </c>
      <c r="CM3" s="12"/>
      <c r="CN3" s="15" t="s">
        <v>75</v>
      </c>
      <c r="CO3" s="12" t="s">
        <v>28</v>
      </c>
      <c r="CP3" s="12"/>
      <c r="CQ3" s="8" t="s">
        <v>76</v>
      </c>
      <c r="CR3" s="12" t="s">
        <v>28</v>
      </c>
      <c r="CS3" s="12"/>
      <c r="CT3" s="15" t="s">
        <v>31</v>
      </c>
      <c r="CU3" s="12" t="s">
        <v>28</v>
      </c>
      <c r="CV3" s="12"/>
      <c r="CW3" s="8" t="s">
        <v>42</v>
      </c>
      <c r="CX3" s="12" t="s">
        <v>28</v>
      </c>
      <c r="CY3" s="12"/>
      <c r="CZ3" s="15" t="s">
        <v>44</v>
      </c>
      <c r="DA3" s="12" t="s">
        <v>28</v>
      </c>
      <c r="DB3" s="12"/>
      <c r="DC3" s="12"/>
    </row>
    <row r="4" spans="1:107" s="8" customFormat="1" ht="20" hidden="1" x14ac:dyDescent="0.35">
      <c r="A4" s="54"/>
      <c r="B4" s="54"/>
      <c r="C4" s="47"/>
      <c r="D4" s="46">
        <v>10</v>
      </c>
      <c r="E4" s="48">
        <v>6000</v>
      </c>
      <c r="F4" s="52"/>
      <c r="G4" s="48" t="s">
        <v>6</v>
      </c>
      <c r="H4" s="26"/>
      <c r="I4" s="20"/>
      <c r="J4" s="20"/>
      <c r="K4" s="41"/>
      <c r="L4" s="41"/>
      <c r="M4" s="20">
        <f t="shared" ref="M4:M56" si="0">SUM(I4:L4)</f>
        <v>0</v>
      </c>
      <c r="N4" s="20">
        <f t="shared" ref="N4:N56" si="1">(M4*D4)/1000</f>
        <v>0</v>
      </c>
      <c r="O4" s="26">
        <f>Q4+T4+W4+Z4+AC4+AF4+AL4+AI4+AO4+AR4+AU4+AX4+BA4+BD4+BG4+BJ4+BM4+BP4+BS4+BV4+BY4+CB4+CE4+CH4+CK4+CN4+CQ4+CT4+CW4</f>
        <v>0</v>
      </c>
      <c r="P4" s="26">
        <f t="shared" ref="P4:P39" si="2">S4+V4+Y4+AB4+AE4+AH4+AK4+AN4+AQ4+AT4+AW4+AZ4+BC4+BF4+BI4++BL4+BO4+BR4+BU4+BX4+CA4+CD4+CG4+CJ4+CM4+CP4+CS4+CV4+CY4+DB4</f>
        <v>0</v>
      </c>
      <c r="Q4" s="1"/>
      <c r="R4" s="13">
        <f t="shared" ref="R4:R18" si="3">(Q4*D4)/1000</f>
        <v>0</v>
      </c>
      <c r="S4" s="42"/>
      <c r="T4" s="2"/>
      <c r="U4" s="13">
        <f t="shared" ref="U4:U49" si="4">(T4*D4)/1000</f>
        <v>0</v>
      </c>
      <c r="V4" s="42"/>
      <c r="W4" s="2"/>
      <c r="X4" s="13">
        <f t="shared" ref="X4:X50" si="5">(W4*D4)/1000</f>
        <v>0</v>
      </c>
      <c r="Y4" s="42"/>
      <c r="Z4" s="2"/>
      <c r="AA4" s="13">
        <f t="shared" ref="AA4:AA50" si="6">(Z4*D4)/1000</f>
        <v>0</v>
      </c>
      <c r="AB4" s="42"/>
      <c r="AC4" s="2"/>
      <c r="AD4" s="13">
        <f t="shared" ref="AD4:AD52" si="7">(AC4*D4)/1000</f>
        <v>0</v>
      </c>
      <c r="AE4" s="42"/>
      <c r="AF4" s="2"/>
      <c r="AG4" s="13">
        <f t="shared" ref="AG4:AG54" si="8">(AF4*D4)/1000</f>
        <v>0</v>
      </c>
      <c r="AH4" s="42"/>
      <c r="AI4" s="2"/>
      <c r="AJ4" s="13">
        <f t="shared" ref="AJ4:AJ49" si="9">(AI4*D4)/1000</f>
        <v>0</v>
      </c>
      <c r="AK4" s="42"/>
      <c r="AL4" s="2"/>
      <c r="AM4" s="13">
        <f>(AL4*D4)/1000</f>
        <v>0</v>
      </c>
      <c r="AN4" s="42"/>
      <c r="AO4" s="2"/>
      <c r="AP4" s="13">
        <f t="shared" ref="AP4:AP49" si="10">(AO4*D4)/1000</f>
        <v>0</v>
      </c>
      <c r="AQ4" s="42"/>
      <c r="AR4" s="2"/>
      <c r="AS4" s="13">
        <f t="shared" ref="AS4:AS49" si="11">(AR4*D4)/1000</f>
        <v>0</v>
      </c>
      <c r="AT4" s="42"/>
      <c r="AU4" s="9"/>
      <c r="AV4" s="13">
        <f t="shared" ref="AV4:AV48" si="12">(AU4*D4)/1000</f>
        <v>0</v>
      </c>
      <c r="AW4" s="42"/>
      <c r="AX4" s="9"/>
      <c r="AY4" s="13">
        <f t="shared" ref="AY4:AY49" si="13">(AX4*D4)/1000</f>
        <v>0</v>
      </c>
      <c r="AZ4" s="42"/>
      <c r="BA4" s="9"/>
      <c r="BB4" s="13">
        <f t="shared" ref="BB4:BB49" si="14">(BA4*D4)/1000</f>
        <v>0</v>
      </c>
      <c r="BC4" s="42"/>
      <c r="BD4" s="1"/>
      <c r="BE4" s="13">
        <f t="shared" ref="BE4:BE49" si="15">(BD4*D4)/1000</f>
        <v>0</v>
      </c>
      <c r="BF4" s="43"/>
      <c r="BG4" s="1"/>
      <c r="BH4" s="13">
        <f t="shared" ref="BH4:BH49" si="16">(BG4*D4)/1000</f>
        <v>0</v>
      </c>
      <c r="BI4" s="43"/>
      <c r="BJ4" s="9"/>
      <c r="BK4" s="13">
        <f t="shared" ref="BK4:BK49" si="17">(BJ4*D4)/1000</f>
        <v>0</v>
      </c>
      <c r="BL4" s="43"/>
      <c r="BM4" s="9"/>
      <c r="BN4" s="13">
        <f t="shared" ref="BN4:BN49" si="18">(BM4*D4)/1000</f>
        <v>0</v>
      </c>
      <c r="BO4" s="43"/>
      <c r="BP4" s="3"/>
      <c r="BQ4" s="13">
        <f t="shared" ref="BQ4:BQ49" si="19">(BP4*D4)/1000</f>
        <v>0</v>
      </c>
      <c r="BR4" s="43"/>
      <c r="BS4" s="3"/>
      <c r="BT4" s="13">
        <f t="shared" ref="BT4:BT49" si="20">(BS4*D4)/1000</f>
        <v>0</v>
      </c>
      <c r="BU4" s="43"/>
      <c r="BV4" s="3"/>
      <c r="BW4" s="13">
        <f t="shared" ref="BW4:BW49" si="21">(BV4*D4)/1000</f>
        <v>0</v>
      </c>
      <c r="BX4" s="43"/>
      <c r="BY4" s="3"/>
      <c r="BZ4" s="13">
        <f t="shared" ref="BZ4:BZ49" si="22">(BY4*D4)/1000</f>
        <v>0</v>
      </c>
      <c r="CA4" s="43"/>
      <c r="CB4" s="9"/>
      <c r="CC4" s="13">
        <f t="shared" ref="CC4:CC49" si="23">(CB4*D4)/1000</f>
        <v>0</v>
      </c>
      <c r="CD4" s="43"/>
      <c r="CE4" s="3"/>
      <c r="CF4" s="13">
        <f t="shared" ref="CF4:CF49" si="24">(CE4*D4)/1000</f>
        <v>0</v>
      </c>
      <c r="CG4" s="43"/>
      <c r="CH4" s="9"/>
      <c r="CI4" s="13">
        <f t="shared" ref="CI4:CI49" si="25">(CH4*D4)/1000</f>
        <v>0</v>
      </c>
      <c r="CJ4" s="43"/>
      <c r="CK4" s="9"/>
      <c r="CL4" s="13">
        <f t="shared" ref="CL4:CL49" si="26">(CK4*D4)/1000</f>
        <v>0</v>
      </c>
      <c r="CM4" s="43"/>
      <c r="CN4" s="3"/>
      <c r="CO4" s="13">
        <f t="shared" ref="CO4:CO49" si="27">(CN4*D4)/1000</f>
        <v>0</v>
      </c>
      <c r="CP4" s="43"/>
      <c r="CQ4" s="3"/>
      <c r="CR4" s="13">
        <f t="shared" ref="CR4:CR49" si="28">(CQ4*D4)/1000</f>
        <v>0</v>
      </c>
      <c r="CS4" s="43"/>
      <c r="CT4" s="9"/>
      <c r="CU4" s="13">
        <f t="shared" ref="CU4:CU49" si="29">(CT4*D4)/1000</f>
        <v>0</v>
      </c>
      <c r="CV4" s="43"/>
      <c r="CW4" s="9"/>
      <c r="CX4" s="13">
        <f t="shared" ref="CX4:CX49" si="30">(CW4*D4)/1000</f>
        <v>0</v>
      </c>
      <c r="CY4" s="43"/>
      <c r="CZ4" s="9"/>
      <c r="DA4" s="13">
        <f t="shared" ref="DA4:DA49" si="31">(CZ4*D4)/1000</f>
        <v>0</v>
      </c>
      <c r="DB4" s="43"/>
    </row>
    <row r="5" spans="1:107" s="8" customFormat="1" ht="28.5" hidden="1" x14ac:dyDescent="0.35">
      <c r="A5" s="54"/>
      <c r="B5" s="54"/>
      <c r="C5" s="47"/>
      <c r="D5" s="46">
        <v>10</v>
      </c>
      <c r="E5" s="48">
        <v>6000</v>
      </c>
      <c r="F5" s="52"/>
      <c r="G5" s="48" t="s">
        <v>4</v>
      </c>
      <c r="H5" s="26"/>
      <c r="I5" s="20"/>
      <c r="J5" s="20"/>
      <c r="K5" s="41"/>
      <c r="L5" s="41"/>
      <c r="M5" s="20">
        <f t="shared" si="0"/>
        <v>0</v>
      </c>
      <c r="N5" s="20">
        <f t="shared" si="1"/>
        <v>0</v>
      </c>
      <c r="O5" s="26">
        <f t="shared" ref="O5:O48" si="32">Q5+T5+W5+Z5+AC5+AF5+AL5+AI5+AO5+AR5+AU5+AX5+BA5+BD5+BG5+BJ5+BM5+BP5+BS5+BV5+BY5+CB5+CE5+CH5+CK5+CN5+CQ5+CT5+CW5</f>
        <v>0</v>
      </c>
      <c r="P5" s="26">
        <f t="shared" si="2"/>
        <v>0</v>
      </c>
      <c r="Q5" s="2"/>
      <c r="R5" s="13">
        <f t="shared" si="3"/>
        <v>0</v>
      </c>
      <c r="S5" s="42"/>
      <c r="T5" s="2"/>
      <c r="U5" s="13">
        <f t="shared" si="4"/>
        <v>0</v>
      </c>
      <c r="V5" s="42"/>
      <c r="W5" s="2"/>
      <c r="X5" s="13">
        <f t="shared" si="5"/>
        <v>0</v>
      </c>
      <c r="Y5" s="42"/>
      <c r="Z5" s="1"/>
      <c r="AA5" s="13">
        <f t="shared" si="6"/>
        <v>0</v>
      </c>
      <c r="AB5" s="42"/>
      <c r="AC5" s="2"/>
      <c r="AD5" s="13">
        <f t="shared" si="7"/>
        <v>0</v>
      </c>
      <c r="AE5" s="42"/>
      <c r="AF5" s="2"/>
      <c r="AG5" s="13">
        <f t="shared" si="8"/>
        <v>0</v>
      </c>
      <c r="AH5" s="42"/>
      <c r="AI5" s="2"/>
      <c r="AJ5" s="13">
        <f t="shared" si="9"/>
        <v>0</v>
      </c>
      <c r="AK5" s="42"/>
      <c r="AL5" s="2"/>
      <c r="AM5" s="13">
        <f t="shared" ref="AM5:AM49" si="33">(AL5*D5)/1000</f>
        <v>0</v>
      </c>
      <c r="AN5" s="42"/>
      <c r="AO5" s="2"/>
      <c r="AP5" s="13">
        <f t="shared" si="10"/>
        <v>0</v>
      </c>
      <c r="AQ5" s="42"/>
      <c r="AR5" s="2"/>
      <c r="AS5" s="13">
        <f t="shared" si="11"/>
        <v>0</v>
      </c>
      <c r="AT5" s="42"/>
      <c r="AU5" s="9"/>
      <c r="AV5" s="13">
        <f t="shared" si="12"/>
        <v>0</v>
      </c>
      <c r="AW5" s="42"/>
      <c r="AX5" s="9"/>
      <c r="AY5" s="13">
        <f t="shared" si="13"/>
        <v>0</v>
      </c>
      <c r="AZ5" s="42"/>
      <c r="BA5" s="9"/>
      <c r="BB5" s="13">
        <f t="shared" si="14"/>
        <v>0</v>
      </c>
      <c r="BC5" s="42"/>
      <c r="BD5" s="1"/>
      <c r="BE5" s="13">
        <f t="shared" si="15"/>
        <v>0</v>
      </c>
      <c r="BF5" s="42"/>
      <c r="BG5" s="1"/>
      <c r="BH5" s="13">
        <f t="shared" si="16"/>
        <v>0</v>
      </c>
      <c r="BI5" s="42"/>
      <c r="BJ5" s="9"/>
      <c r="BK5" s="13">
        <f t="shared" si="17"/>
        <v>0</v>
      </c>
      <c r="BL5" s="42"/>
      <c r="BM5" s="3"/>
      <c r="BN5" s="13">
        <f t="shared" si="18"/>
        <v>0</v>
      </c>
      <c r="BO5" s="42"/>
      <c r="BP5" s="3"/>
      <c r="BQ5" s="13">
        <f t="shared" si="19"/>
        <v>0</v>
      </c>
      <c r="BR5" s="42"/>
      <c r="BS5" s="3"/>
      <c r="BT5" s="13">
        <f t="shared" si="20"/>
        <v>0</v>
      </c>
      <c r="BU5" s="42"/>
      <c r="BV5" s="3"/>
      <c r="BW5" s="13">
        <f t="shared" si="21"/>
        <v>0</v>
      </c>
      <c r="BX5" s="42"/>
      <c r="BY5" s="3"/>
      <c r="BZ5" s="13">
        <f t="shared" si="22"/>
        <v>0</v>
      </c>
      <c r="CA5" s="42"/>
      <c r="CB5" s="3"/>
      <c r="CC5" s="13">
        <f t="shared" si="23"/>
        <v>0</v>
      </c>
      <c r="CD5" s="42"/>
      <c r="CE5" s="9"/>
      <c r="CF5" s="13">
        <f t="shared" si="24"/>
        <v>0</v>
      </c>
      <c r="CG5" s="42"/>
      <c r="CH5" s="9"/>
      <c r="CI5" s="13">
        <f t="shared" si="25"/>
        <v>0</v>
      </c>
      <c r="CJ5" s="42"/>
      <c r="CK5" s="3"/>
      <c r="CL5" s="13">
        <f t="shared" si="26"/>
        <v>0</v>
      </c>
      <c r="CM5" s="42"/>
      <c r="CN5" s="3"/>
      <c r="CO5" s="13">
        <f t="shared" si="27"/>
        <v>0</v>
      </c>
      <c r="CP5" s="42"/>
      <c r="CQ5" s="3"/>
      <c r="CR5" s="13">
        <f t="shared" si="28"/>
        <v>0</v>
      </c>
      <c r="CS5" s="42"/>
      <c r="CT5" s="3"/>
      <c r="CU5" s="13">
        <f t="shared" si="29"/>
        <v>0</v>
      </c>
      <c r="CV5" s="42"/>
      <c r="CW5" s="3"/>
      <c r="CX5" s="13">
        <f t="shared" si="30"/>
        <v>0</v>
      </c>
      <c r="CY5" s="42"/>
      <c r="CZ5" s="9"/>
      <c r="DA5" s="13">
        <f t="shared" si="31"/>
        <v>0</v>
      </c>
      <c r="DB5" s="42"/>
    </row>
    <row r="6" spans="1:107" s="8" customFormat="1" ht="25" hidden="1" x14ac:dyDescent="0.35">
      <c r="A6" s="54">
        <v>10310165</v>
      </c>
      <c r="B6" s="54" t="s">
        <v>21</v>
      </c>
      <c r="C6" s="47"/>
      <c r="D6" s="46">
        <v>10</v>
      </c>
      <c r="E6" s="48">
        <v>12000</v>
      </c>
      <c r="F6" s="52"/>
      <c r="G6" s="48" t="s">
        <v>6</v>
      </c>
      <c r="H6" s="26"/>
      <c r="I6" s="20"/>
      <c r="J6" s="20"/>
      <c r="K6" s="41"/>
      <c r="L6" s="41"/>
      <c r="M6" s="20">
        <f t="shared" si="0"/>
        <v>0</v>
      </c>
      <c r="N6" s="20">
        <f t="shared" si="1"/>
        <v>0</v>
      </c>
      <c r="O6" s="26">
        <f t="shared" si="32"/>
        <v>0</v>
      </c>
      <c r="P6" s="26">
        <f t="shared" si="2"/>
        <v>0</v>
      </c>
      <c r="Q6" s="1"/>
      <c r="R6" s="13">
        <f t="shared" si="3"/>
        <v>0</v>
      </c>
      <c r="S6" s="42"/>
      <c r="T6" s="1"/>
      <c r="U6" s="13">
        <f t="shared" si="4"/>
        <v>0</v>
      </c>
      <c r="V6" s="42"/>
      <c r="W6" s="1"/>
      <c r="X6" s="13">
        <f t="shared" si="5"/>
        <v>0</v>
      </c>
      <c r="Y6" s="42"/>
      <c r="Z6" s="1"/>
      <c r="AA6" s="13">
        <f t="shared" si="6"/>
        <v>0</v>
      </c>
      <c r="AB6" s="42"/>
      <c r="AC6" s="1"/>
      <c r="AD6" s="13">
        <f t="shared" si="7"/>
        <v>0</v>
      </c>
      <c r="AE6" s="42"/>
      <c r="AF6" s="1"/>
      <c r="AG6" s="13">
        <f t="shared" si="8"/>
        <v>0</v>
      </c>
      <c r="AH6" s="42"/>
      <c r="AI6" s="1"/>
      <c r="AJ6" s="13">
        <f t="shared" si="9"/>
        <v>0</v>
      </c>
      <c r="AK6" s="42"/>
      <c r="AL6" s="1"/>
      <c r="AM6" s="13">
        <f t="shared" si="33"/>
        <v>0</v>
      </c>
      <c r="AN6" s="42"/>
      <c r="AO6" s="1"/>
      <c r="AP6" s="13">
        <f t="shared" si="10"/>
        <v>0</v>
      </c>
      <c r="AQ6" s="42"/>
      <c r="AR6" s="1"/>
      <c r="AS6" s="13">
        <f t="shared" si="11"/>
        <v>0</v>
      </c>
      <c r="AT6" s="42"/>
      <c r="AU6" s="9"/>
      <c r="AV6" s="13">
        <f t="shared" si="12"/>
        <v>0</v>
      </c>
      <c r="AW6" s="42"/>
      <c r="AX6" s="9"/>
      <c r="AY6" s="13">
        <f t="shared" si="13"/>
        <v>0</v>
      </c>
      <c r="AZ6" s="42"/>
      <c r="BA6" s="9"/>
      <c r="BB6" s="13">
        <f t="shared" si="14"/>
        <v>0</v>
      </c>
      <c r="BC6" s="42"/>
      <c r="BD6" s="1"/>
      <c r="BE6" s="13">
        <f t="shared" si="15"/>
        <v>0</v>
      </c>
      <c r="BF6" s="42"/>
      <c r="BG6" s="1"/>
      <c r="BH6" s="13">
        <f t="shared" si="16"/>
        <v>0</v>
      </c>
      <c r="BI6" s="42"/>
      <c r="BJ6" s="9"/>
      <c r="BK6" s="13">
        <f t="shared" si="17"/>
        <v>0</v>
      </c>
      <c r="BL6" s="42"/>
      <c r="BM6" s="9"/>
      <c r="BN6" s="13">
        <f t="shared" si="18"/>
        <v>0</v>
      </c>
      <c r="BO6" s="42"/>
      <c r="BP6" s="9"/>
      <c r="BQ6" s="13">
        <f t="shared" si="19"/>
        <v>0</v>
      </c>
      <c r="BR6" s="42"/>
      <c r="BS6" s="3"/>
      <c r="BT6" s="13">
        <f t="shared" si="20"/>
        <v>0</v>
      </c>
      <c r="BU6" s="42"/>
      <c r="BV6" s="9"/>
      <c r="BW6" s="13">
        <f t="shared" si="21"/>
        <v>0</v>
      </c>
      <c r="BX6" s="42"/>
      <c r="BY6" s="9"/>
      <c r="BZ6" s="13">
        <f t="shared" si="22"/>
        <v>0</v>
      </c>
      <c r="CA6" s="42"/>
      <c r="CB6" s="9"/>
      <c r="CC6" s="13">
        <f t="shared" si="23"/>
        <v>0</v>
      </c>
      <c r="CD6" s="42"/>
      <c r="CE6" s="9"/>
      <c r="CF6" s="13">
        <f t="shared" si="24"/>
        <v>0</v>
      </c>
      <c r="CG6" s="42"/>
      <c r="CH6" s="9"/>
      <c r="CI6" s="13">
        <f t="shared" si="25"/>
        <v>0</v>
      </c>
      <c r="CJ6" s="42"/>
      <c r="CK6" s="9"/>
      <c r="CL6" s="13">
        <f t="shared" si="26"/>
        <v>0</v>
      </c>
      <c r="CM6" s="42"/>
      <c r="CN6" s="9"/>
      <c r="CO6" s="13">
        <f t="shared" si="27"/>
        <v>0</v>
      </c>
      <c r="CP6" s="42"/>
      <c r="CQ6" s="9"/>
      <c r="CR6" s="13">
        <f t="shared" si="28"/>
        <v>0</v>
      </c>
      <c r="CS6" s="42"/>
      <c r="CT6" s="9"/>
      <c r="CU6" s="13">
        <f t="shared" si="29"/>
        <v>0</v>
      </c>
      <c r="CV6" s="42"/>
      <c r="CW6" s="9"/>
      <c r="CX6" s="13">
        <f t="shared" si="30"/>
        <v>0</v>
      </c>
      <c r="CY6" s="42"/>
      <c r="CZ6" s="9"/>
      <c r="DA6" s="13">
        <f t="shared" si="31"/>
        <v>0</v>
      </c>
      <c r="DB6" s="42"/>
    </row>
    <row r="7" spans="1:107" s="8" customFormat="1" ht="33.5" hidden="1" x14ac:dyDescent="0.35">
      <c r="A7" s="54">
        <v>10310107</v>
      </c>
      <c r="B7" s="54" t="s">
        <v>7</v>
      </c>
      <c r="C7" s="47">
        <v>100</v>
      </c>
      <c r="D7" s="46">
        <v>10</v>
      </c>
      <c r="E7" s="48">
        <v>6000</v>
      </c>
      <c r="F7" s="52"/>
      <c r="G7" s="48" t="s">
        <v>6</v>
      </c>
      <c r="H7" s="26"/>
      <c r="I7" s="20"/>
      <c r="J7" s="20"/>
      <c r="K7" s="41"/>
      <c r="L7" s="41"/>
      <c r="M7" s="20">
        <f t="shared" si="0"/>
        <v>0</v>
      </c>
      <c r="N7" s="20">
        <f t="shared" si="1"/>
        <v>0</v>
      </c>
      <c r="O7" s="26">
        <f t="shared" si="32"/>
        <v>0</v>
      </c>
      <c r="P7" s="26">
        <f t="shared" si="2"/>
        <v>0</v>
      </c>
      <c r="Q7" s="1"/>
      <c r="R7" s="13">
        <f t="shared" si="3"/>
        <v>0</v>
      </c>
      <c r="S7" s="42"/>
      <c r="T7" s="1"/>
      <c r="U7" s="13">
        <f t="shared" si="4"/>
        <v>0</v>
      </c>
      <c r="V7" s="42"/>
      <c r="W7" s="1"/>
      <c r="X7" s="13">
        <f t="shared" si="5"/>
        <v>0</v>
      </c>
      <c r="Y7" s="42"/>
      <c r="Z7" s="1"/>
      <c r="AA7" s="13">
        <f t="shared" si="6"/>
        <v>0</v>
      </c>
      <c r="AB7" s="42"/>
      <c r="AC7" s="1"/>
      <c r="AD7" s="13">
        <f t="shared" si="7"/>
        <v>0</v>
      </c>
      <c r="AE7" s="42"/>
      <c r="AF7" s="1"/>
      <c r="AG7" s="13">
        <f t="shared" si="8"/>
        <v>0</v>
      </c>
      <c r="AH7" s="42"/>
      <c r="AI7" s="1"/>
      <c r="AJ7" s="13">
        <f t="shared" si="9"/>
        <v>0</v>
      </c>
      <c r="AK7" s="42"/>
      <c r="AL7" s="1"/>
      <c r="AM7" s="13">
        <f t="shared" si="33"/>
        <v>0</v>
      </c>
      <c r="AN7" s="42"/>
      <c r="AO7" s="1"/>
      <c r="AP7" s="13">
        <f t="shared" si="10"/>
        <v>0</v>
      </c>
      <c r="AQ7" s="42"/>
      <c r="AR7" s="1"/>
      <c r="AS7" s="13">
        <f t="shared" si="11"/>
        <v>0</v>
      </c>
      <c r="AT7" s="42"/>
      <c r="AU7" s="1"/>
      <c r="AV7" s="13">
        <f t="shared" si="12"/>
        <v>0</v>
      </c>
      <c r="AW7" s="42"/>
      <c r="AX7" s="1"/>
      <c r="AY7" s="13">
        <f t="shared" si="13"/>
        <v>0</v>
      </c>
      <c r="AZ7" s="42"/>
      <c r="BA7" s="3"/>
      <c r="BB7" s="13">
        <f t="shared" si="14"/>
        <v>0</v>
      </c>
      <c r="BC7" s="42"/>
      <c r="BD7" s="3"/>
      <c r="BE7" s="13">
        <f t="shared" si="15"/>
        <v>0</v>
      </c>
      <c r="BF7" s="42"/>
      <c r="BG7" s="1"/>
      <c r="BH7" s="13">
        <f t="shared" si="16"/>
        <v>0</v>
      </c>
      <c r="BI7" s="42"/>
      <c r="BJ7" s="3"/>
      <c r="BK7" s="13">
        <f t="shared" si="17"/>
        <v>0</v>
      </c>
      <c r="BL7" s="42"/>
      <c r="BM7" s="3"/>
      <c r="BN7" s="13">
        <f t="shared" si="18"/>
        <v>0</v>
      </c>
      <c r="BO7" s="42"/>
      <c r="BP7" s="18"/>
      <c r="BQ7" s="13">
        <f t="shared" si="19"/>
        <v>0</v>
      </c>
      <c r="BR7" s="42"/>
      <c r="BS7" s="3"/>
      <c r="BT7" s="13">
        <f t="shared" si="20"/>
        <v>0</v>
      </c>
      <c r="BU7" s="42"/>
      <c r="BV7" s="1"/>
      <c r="BW7" s="13">
        <f t="shared" si="21"/>
        <v>0</v>
      </c>
      <c r="BX7" s="42"/>
      <c r="BY7" s="1"/>
      <c r="BZ7" s="13">
        <f t="shared" si="22"/>
        <v>0</v>
      </c>
      <c r="CA7" s="42"/>
      <c r="CB7" s="1"/>
      <c r="CC7" s="13">
        <f t="shared" si="23"/>
        <v>0</v>
      </c>
      <c r="CD7" s="42"/>
      <c r="CE7" s="1"/>
      <c r="CF7" s="13">
        <f t="shared" si="24"/>
        <v>0</v>
      </c>
      <c r="CG7" s="42"/>
      <c r="CH7" s="9"/>
      <c r="CI7" s="13">
        <f t="shared" si="25"/>
        <v>0</v>
      </c>
      <c r="CJ7" s="42"/>
      <c r="CK7" s="1"/>
      <c r="CL7" s="13">
        <f t="shared" si="26"/>
        <v>0</v>
      </c>
      <c r="CM7" s="42"/>
      <c r="CN7" s="1"/>
      <c r="CO7" s="13">
        <f t="shared" si="27"/>
        <v>0</v>
      </c>
      <c r="CP7" s="42"/>
      <c r="CQ7" s="1"/>
      <c r="CR7" s="13">
        <f t="shared" si="28"/>
        <v>0</v>
      </c>
      <c r="CS7" s="42"/>
      <c r="CT7" s="1"/>
      <c r="CU7" s="13">
        <f t="shared" si="29"/>
        <v>0</v>
      </c>
      <c r="CV7" s="42"/>
      <c r="CW7" s="1"/>
      <c r="CX7" s="13">
        <f t="shared" si="30"/>
        <v>0</v>
      </c>
      <c r="CY7" s="42"/>
      <c r="CZ7" s="9"/>
      <c r="DA7" s="13">
        <f t="shared" si="31"/>
        <v>0</v>
      </c>
      <c r="DB7" s="42"/>
    </row>
    <row r="8" spans="1:107" s="8" customFormat="1" ht="13" hidden="1" x14ac:dyDescent="0.35">
      <c r="A8" s="54"/>
      <c r="B8" s="54"/>
      <c r="C8" s="47"/>
      <c r="D8" s="46">
        <v>10</v>
      </c>
      <c r="E8" s="48"/>
      <c r="F8" s="52"/>
      <c r="G8" s="48" t="s">
        <v>4</v>
      </c>
      <c r="H8" s="26"/>
      <c r="I8" s="20"/>
      <c r="J8" s="20"/>
      <c r="K8" s="41"/>
      <c r="L8" s="41"/>
      <c r="M8" s="20">
        <f t="shared" si="0"/>
        <v>0</v>
      </c>
      <c r="N8" s="20">
        <f t="shared" si="1"/>
        <v>0</v>
      </c>
      <c r="O8" s="26">
        <f t="shared" si="32"/>
        <v>0</v>
      </c>
      <c r="P8" s="26">
        <f t="shared" si="2"/>
        <v>0</v>
      </c>
      <c r="Q8" s="1"/>
      <c r="R8" s="13">
        <f t="shared" si="3"/>
        <v>0</v>
      </c>
      <c r="S8" s="42"/>
      <c r="T8" s="1"/>
      <c r="U8" s="13">
        <f t="shared" si="4"/>
        <v>0</v>
      </c>
      <c r="V8" s="42"/>
      <c r="W8" s="1"/>
      <c r="X8" s="13">
        <f t="shared" si="5"/>
        <v>0</v>
      </c>
      <c r="Y8" s="42"/>
      <c r="Z8" s="1"/>
      <c r="AA8" s="13">
        <f t="shared" si="6"/>
        <v>0</v>
      </c>
      <c r="AB8" s="42"/>
      <c r="AC8" s="1"/>
      <c r="AD8" s="13">
        <f t="shared" si="7"/>
        <v>0</v>
      </c>
      <c r="AE8" s="42"/>
      <c r="AF8" s="1"/>
      <c r="AG8" s="13">
        <f t="shared" si="8"/>
        <v>0</v>
      </c>
      <c r="AH8" s="42"/>
      <c r="AI8" s="1"/>
      <c r="AJ8" s="13">
        <f t="shared" si="9"/>
        <v>0</v>
      </c>
      <c r="AK8" s="42"/>
      <c r="AL8" s="1"/>
      <c r="AM8" s="13">
        <f t="shared" si="33"/>
        <v>0</v>
      </c>
      <c r="AN8" s="42"/>
      <c r="AO8" s="1"/>
      <c r="AP8" s="13">
        <f t="shared" si="10"/>
        <v>0</v>
      </c>
      <c r="AQ8" s="42"/>
      <c r="AR8" s="1"/>
      <c r="AS8" s="13">
        <f t="shared" si="11"/>
        <v>0</v>
      </c>
      <c r="AT8" s="42"/>
      <c r="AU8" s="9"/>
      <c r="AV8" s="13">
        <f t="shared" si="12"/>
        <v>0</v>
      </c>
      <c r="AW8" s="42"/>
      <c r="AX8" s="9"/>
      <c r="AY8" s="13">
        <f t="shared" si="13"/>
        <v>0</v>
      </c>
      <c r="AZ8" s="42"/>
      <c r="BA8" s="9"/>
      <c r="BB8" s="13">
        <f t="shared" si="14"/>
        <v>0</v>
      </c>
      <c r="BC8" s="42"/>
      <c r="BD8" s="1"/>
      <c r="BE8" s="13">
        <f t="shared" si="15"/>
        <v>0</v>
      </c>
      <c r="BF8" s="42"/>
      <c r="BG8" s="1"/>
      <c r="BH8" s="13">
        <f t="shared" si="16"/>
        <v>0</v>
      </c>
      <c r="BI8" s="42"/>
      <c r="BJ8" s="1"/>
      <c r="BK8" s="13">
        <f t="shared" si="17"/>
        <v>0</v>
      </c>
      <c r="BL8" s="42"/>
      <c r="BM8" s="1"/>
      <c r="BN8" s="13">
        <f t="shared" si="18"/>
        <v>0</v>
      </c>
      <c r="BO8" s="42"/>
      <c r="BP8" s="9"/>
      <c r="BQ8" s="13">
        <f t="shared" si="19"/>
        <v>0</v>
      </c>
      <c r="BR8" s="42"/>
      <c r="BS8" s="3"/>
      <c r="BT8" s="13">
        <f t="shared" si="20"/>
        <v>0</v>
      </c>
      <c r="BU8" s="42"/>
      <c r="BV8" s="9"/>
      <c r="BW8" s="13">
        <f t="shared" si="21"/>
        <v>0</v>
      </c>
      <c r="BX8" s="42"/>
      <c r="BY8" s="9"/>
      <c r="BZ8" s="13">
        <f t="shared" si="22"/>
        <v>0</v>
      </c>
      <c r="CA8" s="42"/>
      <c r="CB8" s="9"/>
      <c r="CC8" s="13">
        <f t="shared" si="23"/>
        <v>0</v>
      </c>
      <c r="CD8" s="42"/>
      <c r="CE8" s="9"/>
      <c r="CF8" s="13">
        <f t="shared" si="24"/>
        <v>0</v>
      </c>
      <c r="CG8" s="42"/>
      <c r="CH8" s="9"/>
      <c r="CI8" s="13">
        <f t="shared" si="25"/>
        <v>0</v>
      </c>
      <c r="CJ8" s="42"/>
      <c r="CK8" s="9"/>
      <c r="CL8" s="13">
        <f t="shared" si="26"/>
        <v>0</v>
      </c>
      <c r="CM8" s="42"/>
      <c r="CN8" s="9"/>
      <c r="CO8" s="13">
        <f t="shared" si="27"/>
        <v>0</v>
      </c>
      <c r="CP8" s="42"/>
      <c r="CQ8" s="9"/>
      <c r="CR8" s="13">
        <f t="shared" si="28"/>
        <v>0</v>
      </c>
      <c r="CS8" s="42"/>
      <c r="CT8" s="9"/>
      <c r="CU8" s="13">
        <f t="shared" si="29"/>
        <v>0</v>
      </c>
      <c r="CV8" s="42"/>
      <c r="CW8" s="9"/>
      <c r="CX8" s="13">
        <f t="shared" si="30"/>
        <v>0</v>
      </c>
      <c r="CY8" s="42"/>
      <c r="CZ8" s="9"/>
      <c r="DA8" s="13">
        <f t="shared" si="31"/>
        <v>0</v>
      </c>
      <c r="DB8" s="42"/>
    </row>
    <row r="9" spans="1:107" s="8" customFormat="1" ht="17" hidden="1" x14ac:dyDescent="0.35">
      <c r="A9" s="54"/>
      <c r="B9" s="54"/>
      <c r="C9" s="47"/>
      <c r="D9" s="46">
        <v>25</v>
      </c>
      <c r="E9" s="48">
        <v>6000</v>
      </c>
      <c r="F9" s="52"/>
      <c r="G9" s="48" t="s">
        <v>6</v>
      </c>
      <c r="H9" s="26"/>
      <c r="I9" s="20"/>
      <c r="J9" s="20"/>
      <c r="K9" s="41"/>
      <c r="L9" s="41"/>
      <c r="M9" s="20">
        <f t="shared" si="0"/>
        <v>0</v>
      </c>
      <c r="N9" s="20">
        <f t="shared" si="1"/>
        <v>0</v>
      </c>
      <c r="O9" s="26">
        <f t="shared" si="32"/>
        <v>0</v>
      </c>
      <c r="P9" s="26">
        <f t="shared" si="2"/>
        <v>0</v>
      </c>
      <c r="Q9" s="1"/>
      <c r="R9" s="13">
        <f t="shared" si="3"/>
        <v>0</v>
      </c>
      <c r="S9" s="42"/>
      <c r="T9" s="1"/>
      <c r="U9" s="13">
        <f t="shared" si="4"/>
        <v>0</v>
      </c>
      <c r="V9" s="42"/>
      <c r="W9" s="1"/>
      <c r="X9" s="13">
        <f t="shared" si="5"/>
        <v>0</v>
      </c>
      <c r="Y9" s="42"/>
      <c r="Z9" s="1"/>
      <c r="AA9" s="13">
        <f t="shared" si="6"/>
        <v>0</v>
      </c>
      <c r="AB9" s="42"/>
      <c r="AC9" s="3"/>
      <c r="AD9" s="13">
        <f t="shared" si="7"/>
        <v>0</v>
      </c>
      <c r="AE9" s="42"/>
      <c r="AF9" s="1"/>
      <c r="AG9" s="13">
        <f t="shared" si="8"/>
        <v>0</v>
      </c>
      <c r="AH9" s="42"/>
      <c r="AI9" s="1"/>
      <c r="AJ9" s="13">
        <f t="shared" si="9"/>
        <v>0</v>
      </c>
      <c r="AK9" s="42"/>
      <c r="AL9" s="7"/>
      <c r="AM9" s="13">
        <f t="shared" si="33"/>
        <v>0</v>
      </c>
      <c r="AN9" s="42"/>
      <c r="AO9" s="9"/>
      <c r="AP9" s="13">
        <f t="shared" si="10"/>
        <v>0</v>
      </c>
      <c r="AQ9" s="42"/>
      <c r="AR9" s="9"/>
      <c r="AS9" s="13">
        <f t="shared" si="11"/>
        <v>0</v>
      </c>
      <c r="AT9" s="42"/>
      <c r="AU9" s="9"/>
      <c r="AV9" s="13">
        <f t="shared" si="12"/>
        <v>0</v>
      </c>
      <c r="AW9" s="42"/>
      <c r="AX9" s="9"/>
      <c r="AY9" s="13">
        <f t="shared" si="13"/>
        <v>0</v>
      </c>
      <c r="AZ9" s="42"/>
      <c r="BA9" s="9"/>
      <c r="BB9" s="13">
        <f t="shared" si="14"/>
        <v>0</v>
      </c>
      <c r="BC9" s="42"/>
      <c r="BD9" s="1"/>
      <c r="BE9" s="13">
        <f t="shared" si="15"/>
        <v>0</v>
      </c>
      <c r="BF9" s="42"/>
      <c r="BG9" s="1"/>
      <c r="BH9" s="13">
        <f t="shared" si="16"/>
        <v>0</v>
      </c>
      <c r="BI9" s="42"/>
      <c r="BJ9" s="9"/>
      <c r="BK9" s="13">
        <f t="shared" si="17"/>
        <v>0</v>
      </c>
      <c r="BL9" s="42"/>
      <c r="BM9" s="9"/>
      <c r="BN9" s="13">
        <f t="shared" si="18"/>
        <v>0</v>
      </c>
      <c r="BO9" s="42"/>
      <c r="BP9" s="9"/>
      <c r="BQ9" s="13">
        <f t="shared" si="19"/>
        <v>0</v>
      </c>
      <c r="BR9" s="42"/>
      <c r="BS9" s="3"/>
      <c r="BT9" s="13">
        <f t="shared" si="20"/>
        <v>0</v>
      </c>
      <c r="BU9" s="42"/>
      <c r="BV9" s="9"/>
      <c r="BW9" s="13">
        <f t="shared" si="21"/>
        <v>0</v>
      </c>
      <c r="BX9" s="42"/>
      <c r="BY9" s="9"/>
      <c r="BZ9" s="13">
        <f t="shared" si="22"/>
        <v>0</v>
      </c>
      <c r="CA9" s="42"/>
      <c r="CB9" s="9"/>
      <c r="CC9" s="13">
        <f t="shared" si="23"/>
        <v>0</v>
      </c>
      <c r="CD9" s="42"/>
      <c r="CE9" s="9"/>
      <c r="CF9" s="13">
        <f t="shared" si="24"/>
        <v>0</v>
      </c>
      <c r="CG9" s="42"/>
      <c r="CH9" s="9"/>
      <c r="CI9" s="13">
        <f t="shared" si="25"/>
        <v>0</v>
      </c>
      <c r="CJ9" s="42"/>
      <c r="CK9" s="9"/>
      <c r="CL9" s="13">
        <f t="shared" si="26"/>
        <v>0</v>
      </c>
      <c r="CM9" s="42"/>
      <c r="CN9" s="9"/>
      <c r="CO9" s="13">
        <f t="shared" si="27"/>
        <v>0</v>
      </c>
      <c r="CP9" s="42"/>
      <c r="CQ9" s="9"/>
      <c r="CR9" s="13">
        <f t="shared" si="28"/>
        <v>0</v>
      </c>
      <c r="CS9" s="42"/>
      <c r="CT9" s="9"/>
      <c r="CU9" s="13">
        <f t="shared" si="29"/>
        <v>0</v>
      </c>
      <c r="CV9" s="42"/>
      <c r="CW9" s="9"/>
      <c r="CX9" s="13">
        <f t="shared" si="30"/>
        <v>0</v>
      </c>
      <c r="CY9" s="42"/>
      <c r="CZ9" s="9"/>
      <c r="DA9" s="13">
        <f t="shared" si="31"/>
        <v>0</v>
      </c>
      <c r="DB9" s="42"/>
    </row>
    <row r="10" spans="1:107" s="8" customFormat="1" ht="15" hidden="1" x14ac:dyDescent="0.35">
      <c r="A10" s="54">
        <v>10310010</v>
      </c>
      <c r="B10" s="54" t="s">
        <v>27</v>
      </c>
      <c r="C10" s="47">
        <v>42</v>
      </c>
      <c r="D10" s="46">
        <v>25</v>
      </c>
      <c r="E10" s="48">
        <v>500</v>
      </c>
      <c r="F10" s="52"/>
      <c r="G10" s="48" t="s">
        <v>17</v>
      </c>
      <c r="H10" s="26"/>
      <c r="I10" s="20"/>
      <c r="J10" s="20"/>
      <c r="K10" s="41"/>
      <c r="L10" s="41"/>
      <c r="M10" s="20">
        <f t="shared" si="0"/>
        <v>0</v>
      </c>
      <c r="N10" s="20">
        <f t="shared" si="1"/>
        <v>0</v>
      </c>
      <c r="O10" s="26">
        <f>Q10+T10+W10+Z10+AC10+AF10+AL10+AI10+AO10+AR10+AU10+AX10+BA10+BD10+BG10+BJ10+BM10+BP10+BS10+BV10+BY10+CB10+CE10+CH10+CK10+CN10+CQ10+CT10+CW10</f>
        <v>0</v>
      </c>
      <c r="P10" s="26">
        <f t="shared" si="2"/>
        <v>0</v>
      </c>
      <c r="Q10" s="1"/>
      <c r="R10" s="13">
        <f>(Q10*D10)/1000</f>
        <v>0</v>
      </c>
      <c r="S10" s="42"/>
      <c r="T10" s="1"/>
      <c r="U10" s="13">
        <f t="shared" si="4"/>
        <v>0</v>
      </c>
      <c r="V10" s="42"/>
      <c r="W10" s="1"/>
      <c r="X10" s="13">
        <f t="shared" si="5"/>
        <v>0</v>
      </c>
      <c r="Y10" s="42"/>
      <c r="Z10" s="1"/>
      <c r="AA10" s="13">
        <f t="shared" si="6"/>
        <v>0</v>
      </c>
      <c r="AB10" s="42"/>
      <c r="AC10" s="3"/>
      <c r="AD10" s="13">
        <f t="shared" si="7"/>
        <v>0</v>
      </c>
      <c r="AE10" s="42"/>
      <c r="AF10" s="1"/>
      <c r="AG10" s="13">
        <f t="shared" si="8"/>
        <v>0</v>
      </c>
      <c r="AH10" s="42"/>
      <c r="AI10" s="9"/>
      <c r="AJ10" s="13">
        <f t="shared" si="9"/>
        <v>0</v>
      </c>
      <c r="AK10" s="42"/>
      <c r="AL10" s="7"/>
      <c r="AM10" s="13">
        <f>(AL10*D10)/1000</f>
        <v>0</v>
      </c>
      <c r="AN10" s="42"/>
      <c r="AO10" s="9"/>
      <c r="AP10" s="13">
        <f t="shared" si="10"/>
        <v>0</v>
      </c>
      <c r="AQ10" s="42"/>
      <c r="AR10" s="9"/>
      <c r="AS10" s="13">
        <f t="shared" si="11"/>
        <v>0</v>
      </c>
      <c r="AT10" s="42"/>
      <c r="AU10" s="9"/>
      <c r="AV10" s="13">
        <f t="shared" si="12"/>
        <v>0</v>
      </c>
      <c r="AW10" s="42"/>
      <c r="AX10" s="9"/>
      <c r="AY10" s="13">
        <f t="shared" si="13"/>
        <v>0</v>
      </c>
      <c r="AZ10" s="42"/>
      <c r="BA10" s="9"/>
      <c r="BB10" s="13">
        <f t="shared" si="14"/>
        <v>0</v>
      </c>
      <c r="BC10" s="42"/>
      <c r="BD10" s="9"/>
      <c r="BE10" s="13">
        <f t="shared" si="15"/>
        <v>0</v>
      </c>
      <c r="BF10" s="42"/>
      <c r="BG10" s="1"/>
      <c r="BH10" s="13">
        <f t="shared" si="16"/>
        <v>0</v>
      </c>
      <c r="BI10" s="42"/>
      <c r="BJ10" s="9"/>
      <c r="BK10" s="13">
        <f t="shared" si="17"/>
        <v>0</v>
      </c>
      <c r="BL10" s="42"/>
      <c r="BM10" s="9"/>
      <c r="BN10" s="13">
        <f t="shared" si="18"/>
        <v>0</v>
      </c>
      <c r="BO10" s="42"/>
      <c r="BP10" s="9"/>
      <c r="BQ10" s="13">
        <f t="shared" si="19"/>
        <v>0</v>
      </c>
      <c r="BR10" s="42"/>
      <c r="BS10" s="3"/>
      <c r="BT10" s="13">
        <f t="shared" si="20"/>
        <v>0</v>
      </c>
      <c r="BU10" s="42"/>
      <c r="BV10" s="9"/>
      <c r="BW10" s="13">
        <f t="shared" si="21"/>
        <v>0</v>
      </c>
      <c r="BX10" s="42"/>
      <c r="BY10" s="9"/>
      <c r="BZ10" s="13">
        <f t="shared" si="22"/>
        <v>0</v>
      </c>
      <c r="CA10" s="42"/>
      <c r="CB10" s="9"/>
      <c r="CC10" s="13">
        <f t="shared" si="23"/>
        <v>0</v>
      </c>
      <c r="CD10" s="42"/>
      <c r="CE10" s="9"/>
      <c r="CF10" s="13">
        <f t="shared" si="24"/>
        <v>0</v>
      </c>
      <c r="CG10" s="42"/>
      <c r="CH10" s="9"/>
      <c r="CI10" s="13">
        <f t="shared" si="25"/>
        <v>0</v>
      </c>
      <c r="CJ10" s="42"/>
      <c r="CK10" s="9"/>
      <c r="CL10" s="13">
        <f t="shared" si="26"/>
        <v>0</v>
      </c>
      <c r="CM10" s="42"/>
      <c r="CN10" s="9"/>
      <c r="CO10" s="13">
        <f t="shared" si="27"/>
        <v>0</v>
      </c>
      <c r="CP10" s="42"/>
      <c r="CQ10" s="9"/>
      <c r="CR10" s="13">
        <f t="shared" si="28"/>
        <v>0</v>
      </c>
      <c r="CS10" s="42"/>
      <c r="CT10" s="9"/>
      <c r="CU10" s="13">
        <f t="shared" si="29"/>
        <v>0</v>
      </c>
      <c r="CV10" s="42"/>
      <c r="CW10" s="9"/>
      <c r="CX10" s="13">
        <f t="shared" si="30"/>
        <v>0</v>
      </c>
      <c r="CY10" s="42"/>
      <c r="CZ10" s="9"/>
      <c r="DA10" s="13">
        <f t="shared" si="31"/>
        <v>0</v>
      </c>
      <c r="DB10" s="42"/>
    </row>
    <row r="11" spans="1:107" s="8" customFormat="1" ht="25" hidden="1" x14ac:dyDescent="0.35">
      <c r="A11" s="54">
        <v>10310009</v>
      </c>
      <c r="B11" s="54" t="s">
        <v>18</v>
      </c>
      <c r="C11" s="47">
        <v>50</v>
      </c>
      <c r="D11" s="46">
        <v>16</v>
      </c>
      <c r="E11" s="48">
        <v>190</v>
      </c>
      <c r="F11" s="52"/>
      <c r="G11" s="48" t="s">
        <v>17</v>
      </c>
      <c r="H11" s="26"/>
      <c r="I11" s="20"/>
      <c r="J11" s="20"/>
      <c r="K11" s="41"/>
      <c r="L11" s="41"/>
      <c r="M11" s="20">
        <f t="shared" si="0"/>
        <v>0</v>
      </c>
      <c r="N11" s="20">
        <f t="shared" si="1"/>
        <v>0</v>
      </c>
      <c r="O11" s="26">
        <f t="shared" si="32"/>
        <v>0</v>
      </c>
      <c r="P11" s="26">
        <f t="shared" si="2"/>
        <v>0</v>
      </c>
      <c r="Q11" s="2"/>
      <c r="R11" s="13">
        <f t="shared" si="3"/>
        <v>0</v>
      </c>
      <c r="S11" s="42"/>
      <c r="T11" s="2"/>
      <c r="U11" s="13">
        <f t="shared" si="4"/>
        <v>0</v>
      </c>
      <c r="V11" s="42"/>
      <c r="W11" s="2"/>
      <c r="X11" s="13">
        <f t="shared" si="5"/>
        <v>0</v>
      </c>
      <c r="Y11" s="42"/>
      <c r="Z11" s="2"/>
      <c r="AA11" s="13">
        <f t="shared" si="6"/>
        <v>0</v>
      </c>
      <c r="AB11" s="42"/>
      <c r="AC11" s="1"/>
      <c r="AD11" s="13">
        <f t="shared" si="7"/>
        <v>0</v>
      </c>
      <c r="AE11" s="42"/>
      <c r="AF11" s="2"/>
      <c r="AG11" s="13">
        <f t="shared" si="8"/>
        <v>0</v>
      </c>
      <c r="AH11" s="42"/>
      <c r="AI11" s="7"/>
      <c r="AJ11" s="13">
        <f t="shared" si="9"/>
        <v>0</v>
      </c>
      <c r="AK11" s="42"/>
      <c r="AL11" s="7"/>
      <c r="AM11" s="13">
        <f t="shared" si="33"/>
        <v>0</v>
      </c>
      <c r="AN11" s="42"/>
      <c r="AO11" s="9"/>
      <c r="AP11" s="13">
        <f t="shared" si="10"/>
        <v>0</v>
      </c>
      <c r="AQ11" s="42"/>
      <c r="AR11" s="9"/>
      <c r="AS11" s="13">
        <f t="shared" si="11"/>
        <v>0</v>
      </c>
      <c r="AT11" s="42"/>
      <c r="AU11" s="9"/>
      <c r="AV11" s="13">
        <f t="shared" si="12"/>
        <v>0</v>
      </c>
      <c r="AW11" s="42"/>
      <c r="AX11" s="9"/>
      <c r="AY11" s="13">
        <f t="shared" si="13"/>
        <v>0</v>
      </c>
      <c r="AZ11" s="42"/>
      <c r="BA11" s="9"/>
      <c r="BB11" s="13">
        <f t="shared" si="14"/>
        <v>0</v>
      </c>
      <c r="BC11" s="42"/>
      <c r="BD11" s="9"/>
      <c r="BE11" s="13">
        <f t="shared" si="15"/>
        <v>0</v>
      </c>
      <c r="BF11" s="42"/>
      <c r="BG11" s="1"/>
      <c r="BH11" s="13">
        <f t="shared" si="16"/>
        <v>0</v>
      </c>
      <c r="BI11" s="42"/>
      <c r="BJ11" s="9"/>
      <c r="BK11" s="13">
        <f t="shared" si="17"/>
        <v>0</v>
      </c>
      <c r="BL11" s="42"/>
      <c r="BM11" s="9"/>
      <c r="BN11" s="13">
        <f t="shared" si="18"/>
        <v>0</v>
      </c>
      <c r="BO11" s="42"/>
      <c r="BP11" s="9"/>
      <c r="BQ11" s="13">
        <f t="shared" si="19"/>
        <v>0</v>
      </c>
      <c r="BR11" s="42"/>
      <c r="BS11" s="3"/>
      <c r="BT11" s="13">
        <f t="shared" si="20"/>
        <v>0</v>
      </c>
      <c r="BU11" s="42"/>
      <c r="BV11" s="9"/>
      <c r="BW11" s="13">
        <f t="shared" si="21"/>
        <v>0</v>
      </c>
      <c r="BX11" s="42"/>
      <c r="BY11" s="9"/>
      <c r="BZ11" s="13">
        <f t="shared" si="22"/>
        <v>0</v>
      </c>
      <c r="CA11" s="42"/>
      <c r="CB11" s="9"/>
      <c r="CC11" s="13">
        <f t="shared" si="23"/>
        <v>0</v>
      </c>
      <c r="CD11" s="42"/>
      <c r="CE11" s="9"/>
      <c r="CF11" s="13">
        <f t="shared" si="24"/>
        <v>0</v>
      </c>
      <c r="CG11" s="42"/>
      <c r="CH11" s="9"/>
      <c r="CI11" s="13">
        <f t="shared" si="25"/>
        <v>0</v>
      </c>
      <c r="CJ11" s="42"/>
      <c r="CK11" s="9"/>
      <c r="CL11" s="13">
        <f t="shared" si="26"/>
        <v>0</v>
      </c>
      <c r="CM11" s="42"/>
      <c r="CN11" s="9"/>
      <c r="CO11" s="13">
        <f t="shared" si="27"/>
        <v>0</v>
      </c>
      <c r="CP11" s="42"/>
      <c r="CQ11" s="9"/>
      <c r="CR11" s="13">
        <f t="shared" si="28"/>
        <v>0</v>
      </c>
      <c r="CS11" s="42"/>
      <c r="CT11" s="9"/>
      <c r="CU11" s="13">
        <f t="shared" si="29"/>
        <v>0</v>
      </c>
      <c r="CV11" s="42"/>
      <c r="CW11" s="9"/>
      <c r="CX11" s="13">
        <f t="shared" si="30"/>
        <v>0</v>
      </c>
      <c r="CY11" s="42"/>
      <c r="CZ11" s="9"/>
      <c r="DA11" s="13">
        <f t="shared" si="31"/>
        <v>0</v>
      </c>
      <c r="DB11" s="42"/>
    </row>
    <row r="12" spans="1:107" s="8" customFormat="1" ht="21.5" hidden="1" x14ac:dyDescent="0.35">
      <c r="A12" s="54">
        <v>10310011</v>
      </c>
      <c r="B12" s="54" t="s">
        <v>16</v>
      </c>
      <c r="C12" s="47">
        <v>50</v>
      </c>
      <c r="D12" s="46">
        <v>20</v>
      </c>
      <c r="E12" s="48">
        <v>300</v>
      </c>
      <c r="F12" s="52"/>
      <c r="G12" s="48" t="s">
        <v>17</v>
      </c>
      <c r="H12" s="26"/>
      <c r="I12" s="20"/>
      <c r="J12" s="20"/>
      <c r="K12" s="41"/>
      <c r="L12" s="41"/>
      <c r="M12" s="20">
        <f t="shared" si="0"/>
        <v>0</v>
      </c>
      <c r="N12" s="20">
        <f t="shared" si="1"/>
        <v>0</v>
      </c>
      <c r="O12" s="26">
        <f t="shared" si="32"/>
        <v>0</v>
      </c>
      <c r="P12" s="26">
        <f t="shared" si="2"/>
        <v>0</v>
      </c>
      <c r="Q12" s="2"/>
      <c r="R12" s="13">
        <f t="shared" si="3"/>
        <v>0</v>
      </c>
      <c r="S12" s="42"/>
      <c r="T12" s="2"/>
      <c r="U12" s="13">
        <f t="shared" si="4"/>
        <v>0</v>
      </c>
      <c r="V12" s="42"/>
      <c r="W12" s="2"/>
      <c r="X12" s="13">
        <f t="shared" si="5"/>
        <v>0</v>
      </c>
      <c r="Y12" s="42"/>
      <c r="Z12" s="2"/>
      <c r="AA12" s="13">
        <f t="shared" si="6"/>
        <v>0</v>
      </c>
      <c r="AB12" s="42"/>
      <c r="AC12" s="2"/>
      <c r="AD12" s="13">
        <f t="shared" si="7"/>
        <v>0</v>
      </c>
      <c r="AE12" s="42"/>
      <c r="AF12" s="2"/>
      <c r="AG12" s="13">
        <f t="shared" si="8"/>
        <v>0</v>
      </c>
      <c r="AH12" s="42"/>
      <c r="AI12" s="7"/>
      <c r="AJ12" s="13">
        <f t="shared" si="9"/>
        <v>0</v>
      </c>
      <c r="AK12" s="42"/>
      <c r="AL12" s="7"/>
      <c r="AM12" s="13">
        <f t="shared" si="33"/>
        <v>0</v>
      </c>
      <c r="AN12" s="42"/>
      <c r="AO12" s="9"/>
      <c r="AP12" s="13">
        <f t="shared" si="10"/>
        <v>0</v>
      </c>
      <c r="AQ12" s="42"/>
      <c r="AR12" s="9"/>
      <c r="AS12" s="13">
        <f t="shared" si="11"/>
        <v>0</v>
      </c>
      <c r="AT12" s="42"/>
      <c r="AU12" s="2"/>
      <c r="AV12" s="13">
        <f t="shared" si="12"/>
        <v>0</v>
      </c>
      <c r="AW12" s="42"/>
      <c r="AX12" s="9"/>
      <c r="AY12" s="13">
        <f t="shared" si="13"/>
        <v>0</v>
      </c>
      <c r="AZ12" s="42"/>
      <c r="BA12" s="9"/>
      <c r="BB12" s="13">
        <f t="shared" si="14"/>
        <v>0</v>
      </c>
      <c r="BC12" s="42"/>
      <c r="BD12" s="9"/>
      <c r="BE12" s="13">
        <f t="shared" si="15"/>
        <v>0</v>
      </c>
      <c r="BF12" s="42"/>
      <c r="BG12" s="1"/>
      <c r="BH12" s="13">
        <f t="shared" si="16"/>
        <v>0</v>
      </c>
      <c r="BI12" s="42"/>
      <c r="BJ12" s="9"/>
      <c r="BK12" s="13">
        <f t="shared" si="17"/>
        <v>0</v>
      </c>
      <c r="BL12" s="42"/>
      <c r="BM12" s="9"/>
      <c r="BN12" s="13">
        <f t="shared" si="18"/>
        <v>0</v>
      </c>
      <c r="BO12" s="42"/>
      <c r="BP12" s="9"/>
      <c r="BQ12" s="13">
        <f t="shared" si="19"/>
        <v>0</v>
      </c>
      <c r="BR12" s="42"/>
      <c r="BS12" s="3"/>
      <c r="BT12" s="13">
        <f t="shared" si="20"/>
        <v>0</v>
      </c>
      <c r="BU12" s="42"/>
      <c r="BV12" s="9"/>
      <c r="BW12" s="13">
        <f t="shared" si="21"/>
        <v>0</v>
      </c>
      <c r="BX12" s="42"/>
      <c r="BY12" s="9"/>
      <c r="BZ12" s="13">
        <f t="shared" si="22"/>
        <v>0</v>
      </c>
      <c r="CA12" s="42"/>
      <c r="CB12" s="9"/>
      <c r="CC12" s="13">
        <f t="shared" si="23"/>
        <v>0</v>
      </c>
      <c r="CD12" s="42"/>
      <c r="CE12" s="9"/>
      <c r="CF12" s="13">
        <f t="shared" si="24"/>
        <v>0</v>
      </c>
      <c r="CG12" s="42"/>
      <c r="CH12" s="9"/>
      <c r="CI12" s="13">
        <f t="shared" si="25"/>
        <v>0</v>
      </c>
      <c r="CJ12" s="42"/>
      <c r="CK12" s="9"/>
      <c r="CL12" s="13">
        <f t="shared" si="26"/>
        <v>0</v>
      </c>
      <c r="CM12" s="42"/>
      <c r="CN12" s="9"/>
      <c r="CO12" s="13">
        <f t="shared" si="27"/>
        <v>0</v>
      </c>
      <c r="CP12" s="42"/>
      <c r="CQ12" s="9"/>
      <c r="CR12" s="13">
        <f t="shared" si="28"/>
        <v>0</v>
      </c>
      <c r="CS12" s="42"/>
      <c r="CT12" s="9"/>
      <c r="CU12" s="13">
        <f t="shared" si="29"/>
        <v>0</v>
      </c>
      <c r="CV12" s="42"/>
      <c r="CW12" s="9"/>
      <c r="CX12" s="13">
        <f t="shared" si="30"/>
        <v>0</v>
      </c>
      <c r="CY12" s="42"/>
      <c r="CZ12" s="9"/>
      <c r="DA12" s="13">
        <f t="shared" si="31"/>
        <v>0</v>
      </c>
      <c r="DB12" s="42"/>
    </row>
    <row r="13" spans="1:107" s="8" customFormat="1" ht="18.5" hidden="1" x14ac:dyDescent="0.35">
      <c r="A13" s="54">
        <v>10310064</v>
      </c>
      <c r="B13" s="54" t="s">
        <v>3</v>
      </c>
      <c r="C13" s="47">
        <v>32</v>
      </c>
      <c r="D13" s="46">
        <v>12</v>
      </c>
      <c r="E13" s="48">
        <v>6300</v>
      </c>
      <c r="F13" s="52"/>
      <c r="G13" s="48" t="s">
        <v>0</v>
      </c>
      <c r="H13" s="26"/>
      <c r="I13" s="20"/>
      <c r="J13" s="20"/>
      <c r="K13" s="41"/>
      <c r="L13" s="41"/>
      <c r="M13" s="20">
        <f t="shared" si="0"/>
        <v>0</v>
      </c>
      <c r="N13" s="20">
        <f t="shared" si="1"/>
        <v>0</v>
      </c>
      <c r="O13" s="26">
        <f t="shared" si="32"/>
        <v>0</v>
      </c>
      <c r="P13" s="26">
        <f t="shared" si="2"/>
        <v>0</v>
      </c>
      <c r="Q13" s="1"/>
      <c r="R13" s="13">
        <f t="shared" si="3"/>
        <v>0</v>
      </c>
      <c r="S13" s="42"/>
      <c r="T13" s="1"/>
      <c r="U13" s="13">
        <f t="shared" si="4"/>
        <v>0</v>
      </c>
      <c r="V13" s="42"/>
      <c r="W13" s="1"/>
      <c r="X13" s="13">
        <f t="shared" si="5"/>
        <v>0</v>
      </c>
      <c r="Y13" s="42"/>
      <c r="Z13" s="1"/>
      <c r="AA13" s="13">
        <f t="shared" si="6"/>
        <v>0</v>
      </c>
      <c r="AB13" s="42"/>
      <c r="AC13" s="1"/>
      <c r="AD13" s="13">
        <f t="shared" si="7"/>
        <v>0</v>
      </c>
      <c r="AE13" s="42"/>
      <c r="AF13" s="2"/>
      <c r="AG13" s="13">
        <f t="shared" si="8"/>
        <v>0</v>
      </c>
      <c r="AH13" s="42"/>
      <c r="AJ13" s="13">
        <f t="shared" si="9"/>
        <v>0</v>
      </c>
      <c r="AK13" s="42"/>
      <c r="AL13" s="7"/>
      <c r="AM13" s="13">
        <f t="shared" si="33"/>
        <v>0</v>
      </c>
      <c r="AN13" s="42"/>
      <c r="AO13" s="2"/>
      <c r="AP13" s="13">
        <f t="shared" si="10"/>
        <v>0</v>
      </c>
      <c r="AQ13" s="42"/>
      <c r="AR13" s="2"/>
      <c r="AS13" s="13">
        <f t="shared" si="11"/>
        <v>0</v>
      </c>
      <c r="AT13" s="42"/>
      <c r="AU13" s="2"/>
      <c r="AV13" s="13">
        <f t="shared" si="12"/>
        <v>0</v>
      </c>
      <c r="AW13" s="42"/>
      <c r="AX13" s="21"/>
      <c r="AY13" s="13">
        <f t="shared" si="13"/>
        <v>0</v>
      </c>
      <c r="AZ13" s="42"/>
      <c r="BA13" s="21"/>
      <c r="BB13" s="13">
        <f t="shared" si="14"/>
        <v>0</v>
      </c>
      <c r="BC13" s="42"/>
      <c r="BD13" s="9"/>
      <c r="BE13" s="13">
        <f t="shared" si="15"/>
        <v>0</v>
      </c>
      <c r="BF13" s="42"/>
      <c r="BG13" s="1"/>
      <c r="BH13" s="13">
        <f t="shared" si="16"/>
        <v>0</v>
      </c>
      <c r="BI13" s="42"/>
      <c r="BJ13" s="9"/>
      <c r="BK13" s="13">
        <f t="shared" si="17"/>
        <v>0</v>
      </c>
      <c r="BL13" s="42"/>
      <c r="BM13" s="1"/>
      <c r="BN13" s="13">
        <f t="shared" si="18"/>
        <v>0</v>
      </c>
      <c r="BO13" s="42"/>
      <c r="BP13" s="18"/>
      <c r="BQ13" s="13">
        <f t="shared" si="19"/>
        <v>0</v>
      </c>
      <c r="BR13" s="42"/>
      <c r="BS13" s="3"/>
      <c r="BT13" s="13">
        <f t="shared" si="20"/>
        <v>0</v>
      </c>
      <c r="BU13" s="42"/>
      <c r="BV13" s="9"/>
      <c r="BW13" s="13">
        <f t="shared" si="21"/>
        <v>0</v>
      </c>
      <c r="BX13" s="42"/>
      <c r="BY13" s="9"/>
      <c r="BZ13" s="13">
        <f t="shared" si="22"/>
        <v>0</v>
      </c>
      <c r="CA13" s="42"/>
      <c r="CB13" s="9"/>
      <c r="CC13" s="13">
        <f t="shared" si="23"/>
        <v>0</v>
      </c>
      <c r="CD13" s="42"/>
      <c r="CE13" s="9"/>
      <c r="CF13" s="13">
        <f t="shared" si="24"/>
        <v>0</v>
      </c>
      <c r="CG13" s="42"/>
      <c r="CH13" s="9"/>
      <c r="CI13" s="13">
        <f t="shared" si="25"/>
        <v>0</v>
      </c>
      <c r="CJ13" s="42"/>
      <c r="CK13" s="9"/>
      <c r="CL13" s="13">
        <f t="shared" si="26"/>
        <v>0</v>
      </c>
      <c r="CM13" s="42"/>
      <c r="CN13" s="9"/>
      <c r="CO13" s="13">
        <f t="shared" si="27"/>
        <v>0</v>
      </c>
      <c r="CP13" s="42"/>
      <c r="CQ13" s="9"/>
      <c r="CR13" s="13">
        <f t="shared" si="28"/>
        <v>0</v>
      </c>
      <c r="CS13" s="42"/>
      <c r="CT13" s="9"/>
      <c r="CU13" s="13">
        <f t="shared" si="29"/>
        <v>0</v>
      </c>
      <c r="CV13" s="42"/>
      <c r="CW13" s="9"/>
      <c r="CX13" s="13">
        <f t="shared" si="30"/>
        <v>0</v>
      </c>
      <c r="CY13" s="42"/>
      <c r="CZ13" s="9"/>
      <c r="DA13" s="13">
        <f t="shared" si="31"/>
        <v>0</v>
      </c>
      <c r="DB13" s="42"/>
    </row>
    <row r="14" spans="1:107" s="8" customFormat="1" ht="29.5" hidden="1" x14ac:dyDescent="0.35">
      <c r="A14" s="54">
        <v>10310067</v>
      </c>
      <c r="B14" s="54" t="s">
        <v>2</v>
      </c>
      <c r="C14" s="47">
        <v>32</v>
      </c>
      <c r="D14" s="46">
        <v>12</v>
      </c>
      <c r="E14" s="48">
        <v>6300</v>
      </c>
      <c r="F14" s="52"/>
      <c r="G14" s="48" t="s">
        <v>0</v>
      </c>
      <c r="H14" s="26"/>
      <c r="I14" s="20"/>
      <c r="J14" s="20"/>
      <c r="K14" s="41"/>
      <c r="L14" s="41"/>
      <c r="M14" s="20">
        <f t="shared" si="0"/>
        <v>0</v>
      </c>
      <c r="N14" s="20">
        <f t="shared" si="1"/>
        <v>0</v>
      </c>
      <c r="O14" s="26">
        <f t="shared" si="32"/>
        <v>0</v>
      </c>
      <c r="P14" s="26">
        <f t="shared" si="2"/>
        <v>0</v>
      </c>
      <c r="Q14" s="1"/>
      <c r="R14" s="13">
        <f t="shared" si="3"/>
        <v>0</v>
      </c>
      <c r="S14" s="42"/>
      <c r="T14" s="1"/>
      <c r="U14" s="13">
        <f t="shared" si="4"/>
        <v>0</v>
      </c>
      <c r="V14" s="42"/>
      <c r="W14" s="1"/>
      <c r="X14" s="13">
        <f t="shared" si="5"/>
        <v>0</v>
      </c>
      <c r="Y14" s="42"/>
      <c r="Z14" s="1"/>
      <c r="AA14" s="13">
        <f t="shared" si="6"/>
        <v>0</v>
      </c>
      <c r="AB14" s="42"/>
      <c r="AC14" s="1"/>
      <c r="AD14" s="13">
        <f t="shared" si="7"/>
        <v>0</v>
      </c>
      <c r="AE14" s="42"/>
      <c r="AF14" s="2"/>
      <c r="AG14" s="13">
        <f t="shared" si="8"/>
        <v>0</v>
      </c>
      <c r="AH14" s="42"/>
      <c r="AI14" s="9"/>
      <c r="AJ14" s="13">
        <f t="shared" si="9"/>
        <v>0</v>
      </c>
      <c r="AK14" s="42"/>
      <c r="AL14" s="7"/>
      <c r="AM14" s="13">
        <f t="shared" si="33"/>
        <v>0</v>
      </c>
      <c r="AN14" s="42"/>
      <c r="AO14" s="9"/>
      <c r="AP14" s="13">
        <f t="shared" si="10"/>
        <v>0</v>
      </c>
      <c r="AQ14" s="42"/>
      <c r="AR14" s="9"/>
      <c r="AS14" s="13">
        <f t="shared" si="11"/>
        <v>0</v>
      </c>
      <c r="AT14" s="42"/>
      <c r="AU14" s="21"/>
      <c r="AV14" s="13">
        <f t="shared" si="12"/>
        <v>0</v>
      </c>
      <c r="AW14" s="42"/>
      <c r="AX14" s="21"/>
      <c r="AY14" s="13">
        <f t="shared" si="13"/>
        <v>0</v>
      </c>
      <c r="AZ14" s="42"/>
      <c r="BA14" s="21"/>
      <c r="BB14" s="13">
        <f t="shared" si="14"/>
        <v>0</v>
      </c>
      <c r="BC14" s="42"/>
      <c r="BD14" s="21"/>
      <c r="BE14" s="13">
        <f t="shared" si="15"/>
        <v>0</v>
      </c>
      <c r="BF14" s="42"/>
      <c r="BG14" s="1"/>
      <c r="BH14" s="13">
        <f t="shared" si="16"/>
        <v>0</v>
      </c>
      <c r="BI14" s="42"/>
      <c r="BJ14" s="9"/>
      <c r="BK14" s="13">
        <f t="shared" si="17"/>
        <v>0</v>
      </c>
      <c r="BL14" s="42"/>
      <c r="BM14" s="9"/>
      <c r="BN14" s="13">
        <f t="shared" si="18"/>
        <v>0</v>
      </c>
      <c r="BO14" s="42"/>
      <c r="BP14" s="18"/>
      <c r="BQ14" s="13">
        <f t="shared" si="19"/>
        <v>0</v>
      </c>
      <c r="BR14" s="42"/>
      <c r="BS14" s="3"/>
      <c r="BT14" s="13">
        <f t="shared" si="20"/>
        <v>0</v>
      </c>
      <c r="BU14" s="42"/>
      <c r="BV14" s="9"/>
      <c r="BW14" s="13">
        <f t="shared" si="21"/>
        <v>0</v>
      </c>
      <c r="BX14" s="42"/>
      <c r="BY14" s="9"/>
      <c r="BZ14" s="13">
        <f t="shared" si="22"/>
        <v>0</v>
      </c>
      <c r="CA14" s="42"/>
      <c r="CB14" s="9"/>
      <c r="CC14" s="13">
        <f t="shared" si="23"/>
        <v>0</v>
      </c>
      <c r="CD14" s="42"/>
      <c r="CE14" s="9"/>
      <c r="CF14" s="13">
        <f t="shared" si="24"/>
        <v>0</v>
      </c>
      <c r="CG14" s="42"/>
      <c r="CH14" s="9"/>
      <c r="CI14" s="13">
        <f t="shared" si="25"/>
        <v>0</v>
      </c>
      <c r="CJ14" s="42"/>
      <c r="CK14" s="9"/>
      <c r="CL14" s="13">
        <f t="shared" si="26"/>
        <v>0</v>
      </c>
      <c r="CM14" s="42"/>
      <c r="CN14" s="9"/>
      <c r="CO14" s="13">
        <f t="shared" si="27"/>
        <v>0</v>
      </c>
      <c r="CP14" s="42"/>
      <c r="CQ14" s="9"/>
      <c r="CR14" s="13">
        <f t="shared" si="28"/>
        <v>0</v>
      </c>
      <c r="CS14" s="42"/>
      <c r="CT14" s="9"/>
      <c r="CU14" s="13">
        <f t="shared" si="29"/>
        <v>0</v>
      </c>
      <c r="CV14" s="42"/>
      <c r="CW14" s="9"/>
      <c r="CX14" s="13">
        <f t="shared" si="30"/>
        <v>0</v>
      </c>
      <c r="CY14" s="42"/>
      <c r="CZ14" s="9"/>
      <c r="DA14" s="13">
        <f t="shared" si="31"/>
        <v>0</v>
      </c>
      <c r="DB14" s="42"/>
    </row>
    <row r="15" spans="1:107" s="8" customFormat="1" ht="28" hidden="1" x14ac:dyDescent="0.35">
      <c r="A15" s="54">
        <v>10310110</v>
      </c>
      <c r="B15" s="54" t="s">
        <v>14</v>
      </c>
      <c r="C15" s="47">
        <v>52</v>
      </c>
      <c r="D15" s="46">
        <v>9</v>
      </c>
      <c r="E15" s="48">
        <v>5400</v>
      </c>
      <c r="F15" s="52"/>
      <c r="G15" s="48" t="s">
        <v>0</v>
      </c>
      <c r="H15" s="26"/>
      <c r="I15" s="20"/>
      <c r="J15" s="20"/>
      <c r="K15" s="41"/>
      <c r="L15" s="41"/>
      <c r="M15" s="20">
        <f t="shared" si="0"/>
        <v>0</v>
      </c>
      <c r="N15" s="20">
        <f t="shared" si="1"/>
        <v>0</v>
      </c>
      <c r="O15" s="26">
        <f t="shared" si="32"/>
        <v>0</v>
      </c>
      <c r="P15" s="26">
        <f t="shared" si="2"/>
        <v>0</v>
      </c>
      <c r="Q15" s="2"/>
      <c r="R15" s="13">
        <f t="shared" si="3"/>
        <v>0</v>
      </c>
      <c r="S15" s="42"/>
      <c r="T15" s="2"/>
      <c r="U15" s="13">
        <f t="shared" si="4"/>
        <v>0</v>
      </c>
      <c r="V15" s="42"/>
      <c r="W15" s="2"/>
      <c r="X15" s="13">
        <f t="shared" si="5"/>
        <v>0</v>
      </c>
      <c r="Y15" s="42"/>
      <c r="Z15" s="2"/>
      <c r="AA15" s="13">
        <f t="shared" si="6"/>
        <v>0</v>
      </c>
      <c r="AB15" s="42"/>
      <c r="AC15" s="2"/>
      <c r="AD15" s="13">
        <f t="shared" si="7"/>
        <v>0</v>
      </c>
      <c r="AE15" s="42"/>
      <c r="AF15" s="2"/>
      <c r="AG15" s="13">
        <f t="shared" si="8"/>
        <v>0</v>
      </c>
      <c r="AH15" s="42"/>
      <c r="AI15" s="7"/>
      <c r="AJ15" s="13">
        <f t="shared" si="9"/>
        <v>0</v>
      </c>
      <c r="AK15" s="42"/>
      <c r="AL15" s="7"/>
      <c r="AM15" s="13">
        <f t="shared" si="33"/>
        <v>0</v>
      </c>
      <c r="AN15" s="42"/>
      <c r="AO15" s="9"/>
      <c r="AP15" s="13">
        <f t="shared" si="10"/>
        <v>0</v>
      </c>
      <c r="AQ15" s="42"/>
      <c r="AR15" s="9"/>
      <c r="AS15" s="13">
        <f t="shared" si="11"/>
        <v>0</v>
      </c>
      <c r="AT15" s="42"/>
      <c r="AU15" s="9"/>
      <c r="AV15" s="13">
        <f t="shared" si="12"/>
        <v>0</v>
      </c>
      <c r="AW15" s="42"/>
      <c r="AX15" s="9"/>
      <c r="AY15" s="13">
        <f t="shared" si="13"/>
        <v>0</v>
      </c>
      <c r="AZ15" s="42"/>
      <c r="BA15" s="9"/>
      <c r="BB15" s="13">
        <f t="shared" si="14"/>
        <v>0</v>
      </c>
      <c r="BC15" s="42"/>
      <c r="BD15" s="24"/>
      <c r="BE15" s="13">
        <f t="shared" si="15"/>
        <v>0</v>
      </c>
      <c r="BF15" s="42"/>
      <c r="BG15" s="1"/>
      <c r="BH15" s="13">
        <f t="shared" si="16"/>
        <v>0</v>
      </c>
      <c r="BI15" s="42"/>
      <c r="BJ15" s="9"/>
      <c r="BK15" s="13">
        <f t="shared" si="17"/>
        <v>0</v>
      </c>
      <c r="BL15" s="42"/>
      <c r="BM15" s="9"/>
      <c r="BN15" s="13">
        <f t="shared" si="18"/>
        <v>0</v>
      </c>
      <c r="BO15" s="42"/>
      <c r="BP15" s="18"/>
      <c r="BQ15" s="13">
        <f t="shared" si="19"/>
        <v>0</v>
      </c>
      <c r="BR15" s="42"/>
      <c r="BS15" s="3"/>
      <c r="BT15" s="13">
        <f t="shared" si="20"/>
        <v>0</v>
      </c>
      <c r="BU15" s="42"/>
      <c r="BV15" s="9"/>
      <c r="BW15" s="13">
        <f t="shared" si="21"/>
        <v>0</v>
      </c>
      <c r="BX15" s="42"/>
      <c r="BY15" s="9"/>
      <c r="BZ15" s="13">
        <f t="shared" si="22"/>
        <v>0</v>
      </c>
      <c r="CA15" s="42"/>
      <c r="CB15" s="9"/>
      <c r="CC15" s="13">
        <f t="shared" si="23"/>
        <v>0</v>
      </c>
      <c r="CD15" s="42"/>
      <c r="CE15" s="9"/>
      <c r="CF15" s="13">
        <f t="shared" si="24"/>
        <v>0</v>
      </c>
      <c r="CG15" s="42"/>
      <c r="CH15" s="9"/>
      <c r="CI15" s="13">
        <f t="shared" si="25"/>
        <v>0</v>
      </c>
      <c r="CJ15" s="42"/>
      <c r="CK15" s="9"/>
      <c r="CL15" s="13">
        <f t="shared" si="26"/>
        <v>0</v>
      </c>
      <c r="CM15" s="42"/>
      <c r="CN15" s="9"/>
      <c r="CO15" s="13">
        <f t="shared" si="27"/>
        <v>0</v>
      </c>
      <c r="CP15" s="42"/>
      <c r="CQ15" s="9"/>
      <c r="CR15" s="13">
        <f t="shared" si="28"/>
        <v>0</v>
      </c>
      <c r="CS15" s="42"/>
      <c r="CT15" s="9"/>
      <c r="CU15" s="13">
        <f t="shared" si="29"/>
        <v>0</v>
      </c>
      <c r="CV15" s="42"/>
      <c r="CW15" s="9"/>
      <c r="CX15" s="13">
        <f t="shared" si="30"/>
        <v>0</v>
      </c>
      <c r="CY15" s="42"/>
      <c r="CZ15" s="9"/>
      <c r="DA15" s="13">
        <f t="shared" si="31"/>
        <v>0</v>
      </c>
      <c r="DB15" s="42"/>
    </row>
    <row r="16" spans="1:107" s="8" customFormat="1" ht="33" hidden="1" x14ac:dyDescent="0.35">
      <c r="A16" s="54">
        <v>10310111</v>
      </c>
      <c r="B16" s="54" t="s">
        <v>15</v>
      </c>
      <c r="C16" s="47">
        <v>52</v>
      </c>
      <c r="D16" s="46">
        <v>9</v>
      </c>
      <c r="E16" s="48">
        <v>5400</v>
      </c>
      <c r="F16" s="52"/>
      <c r="G16" s="48" t="s">
        <v>0</v>
      </c>
      <c r="H16" s="26"/>
      <c r="I16" s="20"/>
      <c r="J16" s="20"/>
      <c r="K16" s="41"/>
      <c r="L16" s="41"/>
      <c r="M16" s="20">
        <f t="shared" si="0"/>
        <v>0</v>
      </c>
      <c r="N16" s="20">
        <f t="shared" si="1"/>
        <v>0</v>
      </c>
      <c r="O16" s="26">
        <f t="shared" si="32"/>
        <v>0</v>
      </c>
      <c r="P16" s="26">
        <f t="shared" si="2"/>
        <v>0</v>
      </c>
      <c r="Q16" s="2"/>
      <c r="R16" s="13">
        <f t="shared" si="3"/>
        <v>0</v>
      </c>
      <c r="S16" s="42"/>
      <c r="T16" s="2"/>
      <c r="U16" s="13">
        <f t="shared" si="4"/>
        <v>0</v>
      </c>
      <c r="V16" s="42"/>
      <c r="W16" s="2"/>
      <c r="X16" s="13">
        <f t="shared" si="5"/>
        <v>0</v>
      </c>
      <c r="Y16" s="42"/>
      <c r="Z16" s="2"/>
      <c r="AA16" s="13">
        <f t="shared" si="6"/>
        <v>0</v>
      </c>
      <c r="AB16" s="42"/>
      <c r="AC16" s="2"/>
      <c r="AD16" s="13">
        <f t="shared" si="7"/>
        <v>0</v>
      </c>
      <c r="AE16" s="42"/>
      <c r="AF16" s="2"/>
      <c r="AG16" s="13">
        <f t="shared" si="8"/>
        <v>0</v>
      </c>
      <c r="AH16" s="42"/>
      <c r="AI16" s="7"/>
      <c r="AJ16" s="13">
        <f t="shared" si="9"/>
        <v>0</v>
      </c>
      <c r="AK16" s="42"/>
      <c r="AL16" s="7"/>
      <c r="AM16" s="13">
        <f t="shared" si="33"/>
        <v>0</v>
      </c>
      <c r="AN16" s="42"/>
      <c r="AO16" s="7"/>
      <c r="AP16" s="13">
        <f t="shared" si="10"/>
        <v>0</v>
      </c>
      <c r="AQ16" s="42"/>
      <c r="AR16" s="9"/>
      <c r="AS16" s="13">
        <f t="shared" si="11"/>
        <v>0</v>
      </c>
      <c r="AT16" s="42"/>
      <c r="AU16" s="7"/>
      <c r="AV16" s="13">
        <f t="shared" si="12"/>
        <v>0</v>
      </c>
      <c r="AW16" s="42"/>
      <c r="AX16" s="7"/>
      <c r="AY16" s="13">
        <f t="shared" si="13"/>
        <v>0</v>
      </c>
      <c r="AZ16" s="42"/>
      <c r="BA16" s="9"/>
      <c r="BB16" s="13">
        <f t="shared" si="14"/>
        <v>0</v>
      </c>
      <c r="BC16" s="42"/>
      <c r="BD16" s="9"/>
      <c r="BE16" s="13">
        <f t="shared" si="15"/>
        <v>0</v>
      </c>
      <c r="BF16" s="42"/>
      <c r="BG16" s="1"/>
      <c r="BH16" s="13">
        <f t="shared" si="16"/>
        <v>0</v>
      </c>
      <c r="BI16" s="42"/>
      <c r="BJ16" s="9"/>
      <c r="BK16" s="13">
        <f t="shared" si="17"/>
        <v>0</v>
      </c>
      <c r="BL16" s="42"/>
      <c r="BM16" s="9"/>
      <c r="BN16" s="13">
        <f t="shared" si="18"/>
        <v>0</v>
      </c>
      <c r="BO16" s="42"/>
      <c r="BP16" s="9"/>
      <c r="BQ16" s="13">
        <f t="shared" si="19"/>
        <v>0</v>
      </c>
      <c r="BR16" s="42"/>
      <c r="BS16" s="3"/>
      <c r="BT16" s="13">
        <f t="shared" si="20"/>
        <v>0</v>
      </c>
      <c r="BU16" s="42"/>
      <c r="BV16" s="9"/>
      <c r="BW16" s="13">
        <f t="shared" si="21"/>
        <v>0</v>
      </c>
      <c r="BX16" s="42"/>
      <c r="BY16" s="9"/>
      <c r="BZ16" s="13">
        <f t="shared" si="22"/>
        <v>0</v>
      </c>
      <c r="CA16" s="42"/>
      <c r="CB16" s="9"/>
      <c r="CC16" s="13">
        <f t="shared" si="23"/>
        <v>0</v>
      </c>
      <c r="CD16" s="42"/>
      <c r="CE16" s="9"/>
      <c r="CF16" s="13">
        <f t="shared" si="24"/>
        <v>0</v>
      </c>
      <c r="CG16" s="42"/>
      <c r="CH16" s="9"/>
      <c r="CI16" s="13">
        <f t="shared" si="25"/>
        <v>0</v>
      </c>
      <c r="CJ16" s="42"/>
      <c r="CK16" s="9"/>
      <c r="CL16" s="13">
        <f t="shared" si="26"/>
        <v>0</v>
      </c>
      <c r="CM16" s="42"/>
      <c r="CN16" s="9"/>
      <c r="CO16" s="13">
        <f t="shared" si="27"/>
        <v>0</v>
      </c>
      <c r="CP16" s="42"/>
      <c r="CQ16" s="9"/>
      <c r="CR16" s="13">
        <f t="shared" si="28"/>
        <v>0</v>
      </c>
      <c r="CS16" s="42"/>
      <c r="CT16" s="9"/>
      <c r="CU16" s="13">
        <f t="shared" si="29"/>
        <v>0</v>
      </c>
      <c r="CV16" s="42"/>
      <c r="CW16" s="9"/>
      <c r="CX16" s="13">
        <f t="shared" si="30"/>
        <v>0</v>
      </c>
      <c r="CY16" s="42"/>
      <c r="CZ16" s="9"/>
      <c r="DA16" s="13">
        <f t="shared" si="31"/>
        <v>0</v>
      </c>
      <c r="DB16" s="42"/>
    </row>
    <row r="17" spans="1:106" s="8" customFormat="1" ht="20" customHeight="1" x14ac:dyDescent="0.35">
      <c r="A17" s="54">
        <v>10310112</v>
      </c>
      <c r="B17" s="54" t="s">
        <v>57</v>
      </c>
      <c r="C17" s="47">
        <v>52</v>
      </c>
      <c r="D17" s="46">
        <v>9</v>
      </c>
      <c r="E17" s="48">
        <v>5400</v>
      </c>
      <c r="F17" s="52"/>
      <c r="G17" s="48" t="s">
        <v>0</v>
      </c>
      <c r="H17" s="26"/>
      <c r="I17" s="20"/>
      <c r="J17" s="20"/>
      <c r="K17" s="41"/>
      <c r="L17" s="41"/>
      <c r="M17" s="20">
        <f t="shared" si="0"/>
        <v>0</v>
      </c>
      <c r="N17" s="20">
        <f t="shared" si="1"/>
        <v>0</v>
      </c>
      <c r="O17" s="26">
        <f t="shared" si="32"/>
        <v>0</v>
      </c>
      <c r="P17" s="26">
        <f t="shared" si="2"/>
        <v>0</v>
      </c>
      <c r="Q17" s="2"/>
      <c r="R17" s="13">
        <f t="shared" si="3"/>
        <v>0</v>
      </c>
      <c r="S17" s="42"/>
      <c r="T17" s="2"/>
      <c r="U17" s="13">
        <f t="shared" si="4"/>
        <v>0</v>
      </c>
      <c r="V17" s="42"/>
      <c r="W17" s="2"/>
      <c r="X17" s="13">
        <f t="shared" si="5"/>
        <v>0</v>
      </c>
      <c r="Y17" s="42"/>
      <c r="Z17" s="2"/>
      <c r="AA17" s="13">
        <f t="shared" si="6"/>
        <v>0</v>
      </c>
      <c r="AB17" s="42"/>
      <c r="AC17" s="2"/>
      <c r="AD17" s="13">
        <f t="shared" si="7"/>
        <v>0</v>
      </c>
      <c r="AE17" s="42"/>
      <c r="AF17" s="2"/>
      <c r="AG17" s="13">
        <f t="shared" si="8"/>
        <v>0</v>
      </c>
      <c r="AH17" s="42"/>
      <c r="AI17" s="7"/>
      <c r="AJ17" s="13">
        <f t="shared" si="9"/>
        <v>0</v>
      </c>
      <c r="AK17" s="42"/>
      <c r="AL17" s="7"/>
      <c r="AM17" s="13">
        <f t="shared" si="33"/>
        <v>0</v>
      </c>
      <c r="AN17" s="42"/>
      <c r="AO17" s="7"/>
      <c r="AP17" s="13">
        <f t="shared" si="10"/>
        <v>0</v>
      </c>
      <c r="AQ17" s="42"/>
      <c r="AR17" s="7"/>
      <c r="AS17" s="13">
        <f t="shared" si="11"/>
        <v>0</v>
      </c>
      <c r="AT17" s="42"/>
      <c r="AU17" s="9"/>
      <c r="AV17" s="13">
        <f t="shared" si="12"/>
        <v>0</v>
      </c>
      <c r="AW17" s="42"/>
      <c r="AX17" s="7"/>
      <c r="AY17" s="13">
        <f t="shared" si="13"/>
        <v>0</v>
      </c>
      <c r="AZ17" s="42"/>
      <c r="BA17" s="9"/>
      <c r="BB17" s="13">
        <f t="shared" si="14"/>
        <v>0</v>
      </c>
      <c r="BC17" s="42"/>
      <c r="BD17" s="9"/>
      <c r="BE17" s="13">
        <f t="shared" si="15"/>
        <v>0</v>
      </c>
      <c r="BF17" s="42"/>
      <c r="BG17" s="9"/>
      <c r="BH17" s="13">
        <f t="shared" si="16"/>
        <v>0</v>
      </c>
      <c r="BI17" s="42"/>
      <c r="BJ17" s="9"/>
      <c r="BK17" s="13">
        <f t="shared" si="17"/>
        <v>0</v>
      </c>
      <c r="BL17" s="42"/>
      <c r="BM17" s="9"/>
      <c r="BN17" s="13">
        <f t="shared" si="18"/>
        <v>0</v>
      </c>
      <c r="BO17" s="42"/>
      <c r="BP17" s="9"/>
      <c r="BQ17" s="13">
        <f t="shared" si="19"/>
        <v>0</v>
      </c>
      <c r="BR17" s="42"/>
      <c r="BS17" s="9"/>
      <c r="BT17" s="13">
        <f t="shared" si="20"/>
        <v>0</v>
      </c>
      <c r="BU17" s="42"/>
      <c r="BV17" s="9"/>
      <c r="BW17" s="13">
        <f t="shared" si="21"/>
        <v>0</v>
      </c>
      <c r="BX17" s="42"/>
      <c r="BY17" s="9"/>
      <c r="BZ17" s="13">
        <f t="shared" si="22"/>
        <v>0</v>
      </c>
      <c r="CA17" s="42"/>
      <c r="CB17" s="9"/>
      <c r="CC17" s="13">
        <f t="shared" si="23"/>
        <v>0</v>
      </c>
      <c r="CD17" s="42"/>
      <c r="CE17" s="9"/>
      <c r="CF17" s="13">
        <f t="shared" si="24"/>
        <v>0</v>
      </c>
      <c r="CG17" s="42"/>
      <c r="CH17" s="9"/>
      <c r="CI17" s="13">
        <f t="shared" si="25"/>
        <v>0</v>
      </c>
      <c r="CJ17" s="42"/>
      <c r="CK17" s="9"/>
      <c r="CL17" s="13">
        <f t="shared" si="26"/>
        <v>0</v>
      </c>
      <c r="CM17" s="42"/>
      <c r="CN17" s="9"/>
      <c r="CO17" s="13">
        <f t="shared" si="27"/>
        <v>0</v>
      </c>
      <c r="CP17" s="42"/>
      <c r="CQ17" s="9"/>
      <c r="CR17" s="13">
        <f t="shared" si="28"/>
        <v>0</v>
      </c>
      <c r="CS17" s="42"/>
      <c r="CT17" s="9"/>
      <c r="CU17" s="13">
        <f t="shared" si="29"/>
        <v>0</v>
      </c>
      <c r="CV17" s="42"/>
      <c r="CW17" s="9"/>
      <c r="CX17" s="13">
        <f t="shared" si="30"/>
        <v>0</v>
      </c>
      <c r="CY17" s="42"/>
      <c r="CZ17" s="9"/>
      <c r="DA17" s="13">
        <f t="shared" si="31"/>
        <v>0</v>
      </c>
      <c r="DB17" s="42"/>
    </row>
    <row r="18" spans="1:106" s="8" customFormat="1" ht="13.9" customHeight="1" x14ac:dyDescent="0.35">
      <c r="A18" s="54">
        <v>10310201</v>
      </c>
      <c r="B18" s="54" t="s">
        <v>85</v>
      </c>
      <c r="C18" s="47">
        <v>52</v>
      </c>
      <c r="D18" s="46">
        <v>7.5</v>
      </c>
      <c r="E18" s="48">
        <v>5400</v>
      </c>
      <c r="F18" s="52"/>
      <c r="G18" s="48" t="s">
        <v>0</v>
      </c>
      <c r="H18" s="26"/>
      <c r="I18" s="20"/>
      <c r="J18" s="20"/>
      <c r="K18" s="41"/>
      <c r="L18" s="41"/>
      <c r="M18" s="20"/>
      <c r="N18" s="20"/>
      <c r="O18" s="26">
        <f t="shared" si="32"/>
        <v>2000</v>
      </c>
      <c r="P18" s="26">
        <f t="shared" si="2"/>
        <v>0</v>
      </c>
      <c r="Q18" s="2"/>
      <c r="R18" s="13">
        <f t="shared" si="3"/>
        <v>0</v>
      </c>
      <c r="S18" s="42"/>
      <c r="T18" s="2"/>
      <c r="U18" s="13">
        <f t="shared" si="4"/>
        <v>0</v>
      </c>
      <c r="V18" s="42"/>
      <c r="W18" s="2"/>
      <c r="X18" s="13">
        <f t="shared" si="5"/>
        <v>0</v>
      </c>
      <c r="Y18" s="42"/>
      <c r="Z18" s="2"/>
      <c r="AA18" s="13">
        <f t="shared" si="6"/>
        <v>0</v>
      </c>
      <c r="AB18" s="42"/>
      <c r="AC18" s="2"/>
      <c r="AD18" s="13">
        <f t="shared" si="7"/>
        <v>0</v>
      </c>
      <c r="AE18" s="42"/>
      <c r="AF18" s="2"/>
      <c r="AG18" s="13">
        <f t="shared" si="8"/>
        <v>0</v>
      </c>
      <c r="AH18" s="42"/>
      <c r="AI18" s="7"/>
      <c r="AJ18" s="13">
        <f t="shared" si="9"/>
        <v>0</v>
      </c>
      <c r="AK18" s="42"/>
      <c r="AL18" s="7">
        <v>2000</v>
      </c>
      <c r="AM18" s="13">
        <f t="shared" si="33"/>
        <v>15</v>
      </c>
      <c r="AN18" s="42"/>
      <c r="AO18" s="7"/>
      <c r="AP18" s="13">
        <f t="shared" si="10"/>
        <v>0</v>
      </c>
      <c r="AQ18" s="42"/>
      <c r="AR18" s="7"/>
      <c r="AS18" s="13">
        <f t="shared" si="11"/>
        <v>0</v>
      </c>
      <c r="AT18" s="42"/>
      <c r="AU18" s="9"/>
      <c r="AV18" s="13">
        <f t="shared" si="12"/>
        <v>0</v>
      </c>
      <c r="AW18" s="42"/>
      <c r="AX18" s="7"/>
      <c r="AY18" s="13">
        <f t="shared" si="13"/>
        <v>0</v>
      </c>
      <c r="AZ18" s="42"/>
      <c r="BA18" s="9"/>
      <c r="BB18" s="13"/>
      <c r="BC18" s="42"/>
      <c r="BD18" s="9"/>
      <c r="BE18" s="13">
        <f t="shared" si="15"/>
        <v>0</v>
      </c>
      <c r="BF18" s="42"/>
      <c r="BG18" s="9"/>
      <c r="BH18" s="13">
        <f t="shared" si="16"/>
        <v>0</v>
      </c>
      <c r="BI18" s="42"/>
      <c r="BJ18" s="9"/>
      <c r="BK18" s="13">
        <f t="shared" si="17"/>
        <v>0</v>
      </c>
      <c r="BL18" s="42"/>
      <c r="BM18" s="9"/>
      <c r="BN18" s="13">
        <f t="shared" si="18"/>
        <v>0</v>
      </c>
      <c r="BO18" s="42"/>
      <c r="BP18" s="9"/>
      <c r="BQ18" s="13">
        <f t="shared" si="19"/>
        <v>0</v>
      </c>
      <c r="BR18" s="42"/>
      <c r="BS18" s="9"/>
      <c r="BT18" s="13">
        <f t="shared" si="20"/>
        <v>0</v>
      </c>
      <c r="BU18" s="42"/>
      <c r="BV18" s="9"/>
      <c r="BW18" s="13">
        <f t="shared" si="21"/>
        <v>0</v>
      </c>
      <c r="BX18" s="42"/>
      <c r="BY18" s="9"/>
      <c r="BZ18" s="13">
        <f t="shared" si="22"/>
        <v>0</v>
      </c>
      <c r="CA18" s="42"/>
      <c r="CB18" s="9"/>
      <c r="CC18" s="13">
        <f t="shared" si="23"/>
        <v>0</v>
      </c>
      <c r="CD18" s="42"/>
      <c r="CE18" s="9"/>
      <c r="CF18" s="13">
        <f t="shared" si="24"/>
        <v>0</v>
      </c>
      <c r="CG18" s="42"/>
      <c r="CH18" s="9"/>
      <c r="CI18" s="13">
        <f t="shared" si="25"/>
        <v>0</v>
      </c>
      <c r="CJ18" s="42"/>
      <c r="CK18" s="9"/>
      <c r="CL18" s="13">
        <f t="shared" si="26"/>
        <v>0</v>
      </c>
      <c r="CM18" s="42"/>
      <c r="CN18" s="9"/>
      <c r="CO18" s="13">
        <f t="shared" si="27"/>
        <v>0</v>
      </c>
      <c r="CP18" s="42"/>
      <c r="CQ18" s="9"/>
      <c r="CR18" s="13">
        <f t="shared" si="28"/>
        <v>0</v>
      </c>
      <c r="CS18" s="42"/>
      <c r="CT18" s="9"/>
      <c r="CU18" s="13">
        <f t="shared" si="29"/>
        <v>0</v>
      </c>
      <c r="CV18" s="42"/>
      <c r="CW18" s="9"/>
      <c r="CX18" s="13">
        <f t="shared" si="30"/>
        <v>0</v>
      </c>
      <c r="CY18" s="42"/>
      <c r="CZ18" s="9"/>
      <c r="DA18" s="13">
        <f t="shared" si="31"/>
        <v>0</v>
      </c>
      <c r="DB18" s="42"/>
    </row>
    <row r="19" spans="1:106" s="8" customFormat="1" ht="13.9" customHeight="1" x14ac:dyDescent="0.35">
      <c r="A19" s="54">
        <v>10310202</v>
      </c>
      <c r="B19" s="54" t="s">
        <v>86</v>
      </c>
      <c r="C19" s="47">
        <v>52</v>
      </c>
      <c r="D19" s="46">
        <v>7.5</v>
      </c>
      <c r="E19" s="48">
        <v>5400</v>
      </c>
      <c r="F19" s="52"/>
      <c r="G19" s="48" t="s">
        <v>0</v>
      </c>
      <c r="H19" s="26"/>
      <c r="I19" s="20"/>
      <c r="J19" s="20"/>
      <c r="K19" s="41"/>
      <c r="L19" s="41"/>
      <c r="M19" s="20"/>
      <c r="N19" s="20"/>
      <c r="O19" s="26">
        <f t="shared" si="32"/>
        <v>2500</v>
      </c>
      <c r="P19" s="26">
        <f t="shared" si="2"/>
        <v>0</v>
      </c>
      <c r="Q19" s="2"/>
      <c r="R19" s="13"/>
      <c r="S19" s="42"/>
      <c r="T19" s="2"/>
      <c r="U19" s="13"/>
      <c r="V19" s="42"/>
      <c r="W19" s="2"/>
      <c r="X19" s="13"/>
      <c r="Y19" s="42"/>
      <c r="Z19" s="2"/>
      <c r="AA19" s="13"/>
      <c r="AB19" s="42"/>
      <c r="AC19" s="2"/>
      <c r="AD19" s="13"/>
      <c r="AE19" s="42"/>
      <c r="AF19" s="2"/>
      <c r="AG19" s="13"/>
      <c r="AH19" s="42"/>
      <c r="AI19" s="7"/>
      <c r="AJ19" s="13"/>
      <c r="AK19" s="42"/>
      <c r="AL19" s="7">
        <v>2500</v>
      </c>
      <c r="AM19" s="13"/>
      <c r="AN19" s="42"/>
      <c r="AO19" s="7"/>
      <c r="AP19" s="13"/>
      <c r="AQ19" s="42"/>
      <c r="AR19" s="7"/>
      <c r="AS19" s="13"/>
      <c r="AT19" s="42"/>
      <c r="AU19" s="9"/>
      <c r="AV19" s="13"/>
      <c r="AW19" s="42"/>
      <c r="AX19" s="7"/>
      <c r="AY19" s="13"/>
      <c r="AZ19" s="42"/>
      <c r="BA19" s="9"/>
      <c r="BB19" s="13"/>
      <c r="BC19" s="42"/>
      <c r="BD19" s="9"/>
      <c r="BE19" s="13"/>
      <c r="BF19" s="42"/>
      <c r="BG19" s="9"/>
      <c r="BH19" s="13"/>
      <c r="BI19" s="42"/>
      <c r="BJ19" s="9"/>
      <c r="BK19" s="13">
        <f t="shared" si="17"/>
        <v>0</v>
      </c>
      <c r="BL19" s="42"/>
      <c r="BM19" s="9"/>
      <c r="BN19" s="13">
        <f t="shared" si="18"/>
        <v>0</v>
      </c>
      <c r="BO19" s="42"/>
      <c r="BP19" s="9"/>
      <c r="BQ19" s="13">
        <f t="shared" si="19"/>
        <v>0</v>
      </c>
      <c r="BR19" s="42"/>
      <c r="BS19" s="9"/>
      <c r="BT19" s="13">
        <f t="shared" si="20"/>
        <v>0</v>
      </c>
      <c r="BU19" s="42"/>
      <c r="BV19" s="9"/>
      <c r="BW19" s="13">
        <f t="shared" si="21"/>
        <v>0</v>
      </c>
      <c r="BX19" s="42"/>
      <c r="BY19" s="9"/>
      <c r="BZ19" s="13">
        <f t="shared" si="22"/>
        <v>0</v>
      </c>
      <c r="CA19" s="42"/>
      <c r="CB19" s="9"/>
      <c r="CC19" s="13"/>
      <c r="CD19" s="42"/>
      <c r="CE19" s="9"/>
      <c r="CF19" s="13"/>
      <c r="CG19" s="42"/>
      <c r="CH19" s="9"/>
      <c r="CI19" s="13"/>
      <c r="CJ19" s="42"/>
      <c r="CK19" s="9"/>
      <c r="CL19" s="13"/>
      <c r="CM19" s="42"/>
      <c r="CN19" s="9"/>
      <c r="CO19" s="13"/>
      <c r="CP19" s="42"/>
      <c r="CQ19" s="9"/>
      <c r="CR19" s="13"/>
      <c r="CS19" s="42"/>
      <c r="CT19" s="9"/>
      <c r="CU19" s="13"/>
      <c r="CV19" s="42"/>
      <c r="CW19" s="9"/>
      <c r="CX19" s="13"/>
      <c r="CY19" s="42"/>
      <c r="CZ19" s="9"/>
      <c r="DA19" s="13"/>
      <c r="DB19" s="42"/>
    </row>
    <row r="20" spans="1:106" s="8" customFormat="1" ht="13.9" customHeight="1" x14ac:dyDescent="0.35">
      <c r="A20" s="54">
        <v>10310203</v>
      </c>
      <c r="B20" s="54" t="s">
        <v>87</v>
      </c>
      <c r="C20" s="47">
        <v>52</v>
      </c>
      <c r="D20" s="46">
        <v>7.5</v>
      </c>
      <c r="E20" s="48">
        <v>5400</v>
      </c>
      <c r="F20" s="52"/>
      <c r="G20" s="48" t="s">
        <v>0</v>
      </c>
      <c r="H20" s="26"/>
      <c r="I20" s="20"/>
      <c r="J20" s="20"/>
      <c r="K20" s="41"/>
      <c r="L20" s="41"/>
      <c r="M20" s="20"/>
      <c r="N20" s="20"/>
      <c r="O20" s="26">
        <f t="shared" si="32"/>
        <v>1500</v>
      </c>
      <c r="P20" s="26">
        <f t="shared" si="2"/>
        <v>0</v>
      </c>
      <c r="Q20" s="2"/>
      <c r="R20" s="13"/>
      <c r="S20" s="42"/>
      <c r="T20" s="2"/>
      <c r="U20" s="13"/>
      <c r="V20" s="42"/>
      <c r="W20" s="2"/>
      <c r="X20" s="13"/>
      <c r="Y20" s="42"/>
      <c r="Z20" s="2"/>
      <c r="AA20" s="13"/>
      <c r="AB20" s="42"/>
      <c r="AC20" s="2"/>
      <c r="AD20" s="13"/>
      <c r="AE20" s="42"/>
      <c r="AF20" s="2"/>
      <c r="AG20" s="13"/>
      <c r="AH20" s="42"/>
      <c r="AI20" s="7"/>
      <c r="AJ20" s="13"/>
      <c r="AK20" s="42"/>
      <c r="AL20" s="7"/>
      <c r="AM20" s="13"/>
      <c r="AN20" s="42"/>
      <c r="AO20" s="7">
        <v>1500</v>
      </c>
      <c r="AP20" s="13"/>
      <c r="AQ20" s="42"/>
      <c r="AR20" s="7"/>
      <c r="AS20" s="13"/>
      <c r="AT20" s="42"/>
      <c r="AU20" s="9"/>
      <c r="AV20" s="13"/>
      <c r="AW20" s="42"/>
      <c r="AX20" s="7"/>
      <c r="AY20" s="13"/>
      <c r="AZ20" s="42"/>
      <c r="BA20" s="9"/>
      <c r="BB20" s="13"/>
      <c r="BC20" s="42"/>
      <c r="BD20" s="9"/>
      <c r="BE20" s="13"/>
      <c r="BF20" s="42"/>
      <c r="BG20" s="9"/>
      <c r="BH20" s="13"/>
      <c r="BI20" s="42"/>
      <c r="BJ20" s="9"/>
      <c r="BK20" s="13">
        <f t="shared" si="17"/>
        <v>0</v>
      </c>
      <c r="BL20" s="42"/>
      <c r="BM20" s="9"/>
      <c r="BN20" s="13">
        <f t="shared" si="18"/>
        <v>0</v>
      </c>
      <c r="BO20" s="42"/>
      <c r="BP20" s="9"/>
      <c r="BQ20" s="13">
        <f t="shared" si="19"/>
        <v>0</v>
      </c>
      <c r="BR20" s="42"/>
      <c r="BS20" s="9"/>
      <c r="BT20" s="13">
        <f t="shared" si="20"/>
        <v>0</v>
      </c>
      <c r="BU20" s="42"/>
      <c r="BV20" s="9"/>
      <c r="BW20" s="13">
        <f t="shared" si="21"/>
        <v>0</v>
      </c>
      <c r="BX20" s="42"/>
      <c r="BY20" s="9"/>
      <c r="BZ20" s="13">
        <f t="shared" si="22"/>
        <v>0</v>
      </c>
      <c r="CA20" s="42"/>
      <c r="CB20" s="9"/>
      <c r="CC20" s="13"/>
      <c r="CD20" s="42"/>
      <c r="CE20" s="9"/>
      <c r="CF20" s="13"/>
      <c r="CG20" s="42"/>
      <c r="CH20" s="9"/>
      <c r="CI20" s="13"/>
      <c r="CJ20" s="42"/>
      <c r="CK20" s="9"/>
      <c r="CL20" s="13"/>
      <c r="CM20" s="42"/>
      <c r="CN20" s="9"/>
      <c r="CO20" s="13"/>
      <c r="CP20" s="42"/>
      <c r="CQ20" s="9"/>
      <c r="CR20" s="13"/>
      <c r="CS20" s="42"/>
      <c r="CT20" s="9"/>
      <c r="CU20" s="13"/>
      <c r="CV20" s="42"/>
      <c r="CW20" s="9"/>
      <c r="CX20" s="13"/>
      <c r="CY20" s="42"/>
      <c r="CZ20" s="9"/>
      <c r="DA20" s="13"/>
      <c r="DB20" s="42"/>
    </row>
    <row r="21" spans="1:106" s="8" customFormat="1" ht="13.9" customHeight="1" x14ac:dyDescent="0.35">
      <c r="A21" s="54">
        <v>10310204</v>
      </c>
      <c r="B21" s="54" t="s">
        <v>88</v>
      </c>
      <c r="C21" s="47">
        <v>52</v>
      </c>
      <c r="D21" s="46">
        <v>7.5</v>
      </c>
      <c r="E21" s="48">
        <v>5400</v>
      </c>
      <c r="F21" s="52"/>
      <c r="G21" s="48" t="s">
        <v>0</v>
      </c>
      <c r="H21" s="26"/>
      <c r="I21" s="20"/>
      <c r="J21" s="20"/>
      <c r="K21" s="41"/>
      <c r="L21" s="41"/>
      <c r="M21" s="20"/>
      <c r="N21" s="20"/>
      <c r="O21" s="26">
        <f t="shared" si="32"/>
        <v>2500</v>
      </c>
      <c r="P21" s="26">
        <f t="shared" si="2"/>
        <v>0</v>
      </c>
      <c r="Q21" s="2"/>
      <c r="R21" s="13"/>
      <c r="S21" s="42"/>
      <c r="T21" s="2"/>
      <c r="U21" s="13"/>
      <c r="V21" s="42"/>
      <c r="W21" s="2"/>
      <c r="X21" s="13"/>
      <c r="Y21" s="42"/>
      <c r="Z21" s="2"/>
      <c r="AA21" s="13"/>
      <c r="AB21" s="42"/>
      <c r="AC21" s="2"/>
      <c r="AD21" s="13"/>
      <c r="AE21" s="42"/>
      <c r="AF21" s="2"/>
      <c r="AG21" s="13"/>
      <c r="AH21" s="42"/>
      <c r="AI21" s="7"/>
      <c r="AJ21" s="13"/>
      <c r="AK21" s="42"/>
      <c r="AL21" s="7"/>
      <c r="AM21" s="13"/>
      <c r="AN21" s="42"/>
      <c r="AO21" s="7">
        <v>2500</v>
      </c>
      <c r="AP21" s="13"/>
      <c r="AQ21" s="42"/>
      <c r="AR21" s="7"/>
      <c r="AS21" s="13"/>
      <c r="AT21" s="42"/>
      <c r="AU21" s="9"/>
      <c r="AV21" s="13"/>
      <c r="AW21" s="42"/>
      <c r="AX21" s="7"/>
      <c r="AY21" s="13"/>
      <c r="AZ21" s="42"/>
      <c r="BA21" s="9"/>
      <c r="BB21" s="13"/>
      <c r="BC21" s="42"/>
      <c r="BD21" s="9"/>
      <c r="BE21" s="13"/>
      <c r="BF21" s="42"/>
      <c r="BG21" s="9"/>
      <c r="BH21" s="13"/>
      <c r="BI21" s="42"/>
      <c r="BJ21" s="9"/>
      <c r="BK21" s="13">
        <f t="shared" si="17"/>
        <v>0</v>
      </c>
      <c r="BL21" s="42"/>
      <c r="BM21" s="9"/>
      <c r="BN21" s="13">
        <f t="shared" si="18"/>
        <v>0</v>
      </c>
      <c r="BO21" s="42"/>
      <c r="BP21" s="9"/>
      <c r="BQ21" s="13">
        <f t="shared" si="19"/>
        <v>0</v>
      </c>
      <c r="BR21" s="42"/>
      <c r="BS21" s="9"/>
      <c r="BT21" s="13">
        <f t="shared" si="20"/>
        <v>0</v>
      </c>
      <c r="BU21" s="42"/>
      <c r="BV21" s="9"/>
      <c r="BW21" s="13">
        <f t="shared" si="21"/>
        <v>0</v>
      </c>
      <c r="BX21" s="42"/>
      <c r="BY21" s="9"/>
      <c r="BZ21" s="13">
        <f t="shared" si="22"/>
        <v>0</v>
      </c>
      <c r="CA21" s="42"/>
      <c r="CB21" s="9"/>
      <c r="CC21" s="13"/>
      <c r="CD21" s="42"/>
      <c r="CE21" s="9"/>
      <c r="CF21" s="13"/>
      <c r="CG21" s="42"/>
      <c r="CH21" s="9"/>
      <c r="CI21" s="13"/>
      <c r="CJ21" s="42"/>
      <c r="CK21" s="9"/>
      <c r="CL21" s="13"/>
      <c r="CM21" s="42"/>
      <c r="CN21" s="9"/>
      <c r="CO21" s="13"/>
      <c r="CP21" s="42"/>
      <c r="CQ21" s="9"/>
      <c r="CR21" s="13"/>
      <c r="CS21" s="42"/>
      <c r="CT21" s="9"/>
      <c r="CU21" s="13"/>
      <c r="CV21" s="42"/>
      <c r="CW21" s="9"/>
      <c r="CX21" s="13"/>
      <c r="CY21" s="42"/>
      <c r="CZ21" s="9"/>
      <c r="DA21" s="13"/>
      <c r="DB21" s="42"/>
    </row>
    <row r="22" spans="1:106" s="8" customFormat="1" ht="13.9" customHeight="1" x14ac:dyDescent="0.35">
      <c r="A22" s="54">
        <v>10310205</v>
      </c>
      <c r="B22" s="54" t="s">
        <v>89</v>
      </c>
      <c r="C22" s="47">
        <v>52</v>
      </c>
      <c r="D22" s="46">
        <v>7.5</v>
      </c>
      <c r="E22" s="48">
        <v>5400</v>
      </c>
      <c r="F22" s="52"/>
      <c r="G22" s="48" t="s">
        <v>0</v>
      </c>
      <c r="H22" s="26"/>
      <c r="I22" s="20"/>
      <c r="J22" s="20"/>
      <c r="K22" s="41"/>
      <c r="L22" s="41"/>
      <c r="M22" s="20"/>
      <c r="N22" s="20"/>
      <c r="O22" s="26">
        <f t="shared" si="32"/>
        <v>1500</v>
      </c>
      <c r="P22" s="26">
        <f t="shared" si="2"/>
        <v>0</v>
      </c>
      <c r="Q22" s="2"/>
      <c r="R22" s="13"/>
      <c r="S22" s="42"/>
      <c r="T22" s="2"/>
      <c r="U22" s="13"/>
      <c r="V22" s="42"/>
      <c r="W22" s="2"/>
      <c r="X22" s="13"/>
      <c r="Y22" s="42"/>
      <c r="Z22" s="2"/>
      <c r="AA22" s="13"/>
      <c r="AB22" s="42"/>
      <c r="AC22" s="2"/>
      <c r="AD22" s="13"/>
      <c r="AE22" s="42"/>
      <c r="AF22" s="2"/>
      <c r="AG22" s="13"/>
      <c r="AH22" s="42"/>
      <c r="AI22" s="7"/>
      <c r="AJ22" s="13"/>
      <c r="AK22" s="42"/>
      <c r="AL22" s="7"/>
      <c r="AM22" s="13"/>
      <c r="AN22" s="42"/>
      <c r="AO22" s="7"/>
      <c r="AP22" s="13"/>
      <c r="AQ22" s="42"/>
      <c r="AR22" s="7">
        <v>1500</v>
      </c>
      <c r="AS22" s="13"/>
      <c r="AT22" s="42"/>
      <c r="AU22" s="9"/>
      <c r="AV22" s="13"/>
      <c r="AW22" s="42"/>
      <c r="AX22" s="7"/>
      <c r="AY22" s="13"/>
      <c r="AZ22" s="42"/>
      <c r="BA22" s="9"/>
      <c r="BB22" s="13"/>
      <c r="BC22" s="42"/>
      <c r="BD22" s="9"/>
      <c r="BE22" s="13"/>
      <c r="BF22" s="42"/>
      <c r="BG22" s="9"/>
      <c r="BH22" s="13"/>
      <c r="BI22" s="42"/>
      <c r="BJ22" s="9"/>
      <c r="BK22" s="13">
        <f t="shared" si="17"/>
        <v>0</v>
      </c>
      <c r="BL22" s="42"/>
      <c r="BM22" s="9"/>
      <c r="BN22" s="13">
        <f t="shared" si="18"/>
        <v>0</v>
      </c>
      <c r="BO22" s="42"/>
      <c r="BP22" s="9"/>
      <c r="BQ22" s="13">
        <f t="shared" si="19"/>
        <v>0</v>
      </c>
      <c r="BR22" s="42"/>
      <c r="BS22" s="9"/>
      <c r="BT22" s="13">
        <f t="shared" si="20"/>
        <v>0</v>
      </c>
      <c r="BU22" s="42"/>
      <c r="BV22" s="9"/>
      <c r="BW22" s="13">
        <f t="shared" si="21"/>
        <v>0</v>
      </c>
      <c r="BX22" s="42"/>
      <c r="BY22" s="9"/>
      <c r="BZ22" s="13">
        <f t="shared" si="22"/>
        <v>0</v>
      </c>
      <c r="CA22" s="42"/>
      <c r="CB22" s="9"/>
      <c r="CC22" s="13"/>
      <c r="CD22" s="42"/>
      <c r="CE22" s="9"/>
      <c r="CF22" s="13"/>
      <c r="CG22" s="42"/>
      <c r="CH22" s="9"/>
      <c r="CI22" s="13"/>
      <c r="CJ22" s="42"/>
      <c r="CK22" s="9"/>
      <c r="CL22" s="13"/>
      <c r="CM22" s="42"/>
      <c r="CN22" s="9"/>
      <c r="CO22" s="13"/>
      <c r="CP22" s="42"/>
      <c r="CQ22" s="9"/>
      <c r="CR22" s="13"/>
      <c r="CS22" s="42"/>
      <c r="CT22" s="9"/>
      <c r="CU22" s="13"/>
      <c r="CV22" s="42"/>
      <c r="CW22" s="9"/>
      <c r="CX22" s="13"/>
      <c r="CY22" s="42"/>
      <c r="CZ22" s="9"/>
      <c r="DA22" s="13"/>
      <c r="DB22" s="42"/>
    </row>
    <row r="23" spans="1:106" s="8" customFormat="1" x14ac:dyDescent="0.35">
      <c r="A23" s="54">
        <v>10310206</v>
      </c>
      <c r="B23" s="54" t="s">
        <v>90</v>
      </c>
      <c r="C23" s="47">
        <v>40</v>
      </c>
      <c r="D23" s="46">
        <v>7.5</v>
      </c>
      <c r="E23" s="48">
        <v>6300</v>
      </c>
      <c r="F23" s="52"/>
      <c r="G23" s="48" t="s">
        <v>0</v>
      </c>
      <c r="H23" s="26"/>
      <c r="I23" s="20"/>
      <c r="J23" s="20"/>
      <c r="K23" s="41"/>
      <c r="L23" s="41"/>
      <c r="M23" s="20">
        <f t="shared" si="0"/>
        <v>0</v>
      </c>
      <c r="N23" s="20">
        <f t="shared" si="1"/>
        <v>0</v>
      </c>
      <c r="O23" s="26">
        <f t="shared" si="32"/>
        <v>1500</v>
      </c>
      <c r="P23" s="26">
        <f t="shared" si="2"/>
        <v>0</v>
      </c>
      <c r="Q23" s="2"/>
      <c r="R23" s="13">
        <f t="shared" ref="R23:R56" si="34">(Q23*D23)/1000</f>
        <v>0</v>
      </c>
      <c r="S23" s="42"/>
      <c r="T23" s="2"/>
      <c r="U23" s="13">
        <f t="shared" si="4"/>
        <v>0</v>
      </c>
      <c r="V23" s="42"/>
      <c r="W23" s="2"/>
      <c r="X23" s="13">
        <f t="shared" si="5"/>
        <v>0</v>
      </c>
      <c r="Y23" s="42"/>
      <c r="Z23" s="2"/>
      <c r="AA23" s="13">
        <f t="shared" si="6"/>
        <v>0</v>
      </c>
      <c r="AB23" s="42"/>
      <c r="AC23" s="19"/>
      <c r="AD23" s="13">
        <f t="shared" si="7"/>
        <v>0</v>
      </c>
      <c r="AE23" s="42"/>
      <c r="AF23" s="2"/>
      <c r="AG23" s="13">
        <f t="shared" si="8"/>
        <v>0</v>
      </c>
      <c r="AH23" s="42"/>
      <c r="AI23" s="19"/>
      <c r="AJ23" s="13">
        <f t="shared" si="9"/>
        <v>0</v>
      </c>
      <c r="AK23" s="42"/>
      <c r="AL23" s="9"/>
      <c r="AM23" s="13">
        <f t="shared" si="33"/>
        <v>0</v>
      </c>
      <c r="AN23" s="42"/>
      <c r="AO23" s="9"/>
      <c r="AP23" s="13">
        <f t="shared" si="10"/>
        <v>0</v>
      </c>
      <c r="AQ23" s="42"/>
      <c r="AR23" s="9">
        <v>1500</v>
      </c>
      <c r="AS23" s="13">
        <f t="shared" si="11"/>
        <v>11.25</v>
      </c>
      <c r="AT23" s="42"/>
      <c r="AU23" s="9"/>
      <c r="AV23" s="13">
        <f t="shared" si="12"/>
        <v>0</v>
      </c>
      <c r="AW23" s="42"/>
      <c r="AX23" s="9"/>
      <c r="AY23" s="13">
        <f t="shared" si="13"/>
        <v>0</v>
      </c>
      <c r="AZ23" s="42"/>
      <c r="BA23" s="9"/>
      <c r="BB23" s="13">
        <f t="shared" si="14"/>
        <v>0</v>
      </c>
      <c r="BC23" s="42"/>
      <c r="BD23" s="9"/>
      <c r="BE23" s="13">
        <f t="shared" si="15"/>
        <v>0</v>
      </c>
      <c r="BF23" s="42"/>
      <c r="BG23" s="19"/>
      <c r="BH23" s="13">
        <f t="shared" si="16"/>
        <v>0</v>
      </c>
      <c r="BI23" s="42"/>
      <c r="BJ23" s="19"/>
      <c r="BK23" s="13">
        <f t="shared" si="17"/>
        <v>0</v>
      </c>
      <c r="BL23" s="42"/>
      <c r="BM23" s="9"/>
      <c r="BN23" s="13">
        <f t="shared" si="18"/>
        <v>0</v>
      </c>
      <c r="BO23" s="42"/>
      <c r="BP23" s="18"/>
      <c r="BQ23" s="13">
        <f t="shared" si="19"/>
        <v>0</v>
      </c>
      <c r="BR23" s="42"/>
      <c r="BS23" s="18"/>
      <c r="BT23" s="13">
        <f t="shared" si="20"/>
        <v>0</v>
      </c>
      <c r="BU23" s="42"/>
      <c r="BV23" s="9"/>
      <c r="BW23" s="13">
        <f t="shared" si="21"/>
        <v>0</v>
      </c>
      <c r="BX23" s="42"/>
      <c r="BY23" s="9"/>
      <c r="BZ23" s="13">
        <f t="shared" si="22"/>
        <v>0</v>
      </c>
      <c r="CA23" s="42"/>
      <c r="CB23" s="9"/>
      <c r="CC23" s="13">
        <f t="shared" si="23"/>
        <v>0</v>
      </c>
      <c r="CD23" s="42"/>
      <c r="CE23" s="9"/>
      <c r="CF23" s="13">
        <f t="shared" si="24"/>
        <v>0</v>
      </c>
      <c r="CG23" s="42"/>
      <c r="CH23" s="9"/>
      <c r="CI23" s="13">
        <f t="shared" si="25"/>
        <v>0</v>
      </c>
      <c r="CJ23" s="42"/>
      <c r="CK23" s="9"/>
      <c r="CL23" s="13">
        <f t="shared" si="26"/>
        <v>0</v>
      </c>
      <c r="CM23" s="42"/>
      <c r="CN23" s="9"/>
      <c r="CO23" s="13">
        <f t="shared" si="27"/>
        <v>0</v>
      </c>
      <c r="CP23" s="42"/>
      <c r="CQ23" s="9"/>
      <c r="CR23" s="13">
        <f t="shared" si="28"/>
        <v>0</v>
      </c>
      <c r="CS23" s="42"/>
      <c r="CT23" s="9"/>
      <c r="CU23" s="13">
        <f t="shared" si="29"/>
        <v>0</v>
      </c>
      <c r="CV23" s="42"/>
      <c r="CW23" s="9"/>
      <c r="CX23" s="13">
        <f t="shared" si="30"/>
        <v>0</v>
      </c>
      <c r="CY23" s="42"/>
      <c r="CZ23" s="9"/>
      <c r="DA23" s="13">
        <f t="shared" si="31"/>
        <v>0</v>
      </c>
      <c r="DB23" s="42"/>
    </row>
    <row r="24" spans="1:106" s="8" customFormat="1" x14ac:dyDescent="0.35">
      <c r="A24" s="55">
        <v>10310189</v>
      </c>
      <c r="B24" s="55" t="s">
        <v>91</v>
      </c>
      <c r="C24" s="56">
        <v>40</v>
      </c>
      <c r="D24" s="57">
        <v>9</v>
      </c>
      <c r="E24" s="58">
        <v>6300</v>
      </c>
      <c r="F24" s="58">
        <v>11000</v>
      </c>
      <c r="G24" s="58" t="s">
        <v>0</v>
      </c>
      <c r="H24" s="26"/>
      <c r="I24" s="20"/>
      <c r="J24" s="20"/>
      <c r="K24" s="41"/>
      <c r="L24" s="41"/>
      <c r="M24" s="20"/>
      <c r="N24" s="20"/>
      <c r="O24" s="59">
        <f t="shared" si="32"/>
        <v>11000</v>
      </c>
      <c r="P24" s="59">
        <f t="shared" si="2"/>
        <v>0</v>
      </c>
      <c r="Q24" s="60">
        <v>5000</v>
      </c>
      <c r="R24" s="61">
        <f t="shared" si="34"/>
        <v>45</v>
      </c>
      <c r="S24" s="61"/>
      <c r="T24" s="60">
        <v>6000</v>
      </c>
      <c r="U24" s="13">
        <f t="shared" si="4"/>
        <v>54</v>
      </c>
      <c r="V24" s="42"/>
      <c r="W24" s="2"/>
      <c r="X24" s="13">
        <f t="shared" si="5"/>
        <v>0</v>
      </c>
      <c r="Y24" s="42"/>
      <c r="Z24" s="2"/>
      <c r="AA24" s="13">
        <f t="shared" si="6"/>
        <v>0</v>
      </c>
      <c r="AB24" s="42"/>
      <c r="AC24" s="19"/>
      <c r="AD24" s="13">
        <f t="shared" si="7"/>
        <v>0</v>
      </c>
      <c r="AE24" s="42"/>
      <c r="AF24" s="2"/>
      <c r="AG24" s="13">
        <f t="shared" si="8"/>
        <v>0</v>
      </c>
      <c r="AH24" s="42"/>
      <c r="AI24" s="19"/>
      <c r="AJ24" s="13">
        <f t="shared" si="9"/>
        <v>0</v>
      </c>
      <c r="AK24" s="42"/>
      <c r="AL24" s="9"/>
      <c r="AM24" s="13">
        <f t="shared" si="33"/>
        <v>0</v>
      </c>
      <c r="AN24" s="42"/>
      <c r="AO24" s="9"/>
      <c r="AP24" s="13">
        <f t="shared" si="10"/>
        <v>0</v>
      </c>
      <c r="AQ24" s="42"/>
      <c r="AR24" s="9"/>
      <c r="AS24" s="13">
        <f t="shared" si="11"/>
        <v>0</v>
      </c>
      <c r="AT24" s="42"/>
      <c r="AU24" s="9"/>
      <c r="AV24" s="13">
        <f t="shared" si="12"/>
        <v>0</v>
      </c>
      <c r="AW24" s="42"/>
      <c r="AX24" s="9"/>
      <c r="AY24" s="13">
        <f t="shared" si="13"/>
        <v>0</v>
      </c>
      <c r="AZ24" s="42"/>
      <c r="BA24" s="9"/>
      <c r="BB24" s="13">
        <f t="shared" si="14"/>
        <v>0</v>
      </c>
      <c r="BC24" s="42"/>
      <c r="BD24" s="9"/>
      <c r="BE24" s="13">
        <f t="shared" si="15"/>
        <v>0</v>
      </c>
      <c r="BF24" s="42"/>
      <c r="BG24" s="19"/>
      <c r="BH24" s="13">
        <f t="shared" si="16"/>
        <v>0</v>
      </c>
      <c r="BI24" s="42"/>
      <c r="BJ24" s="19"/>
      <c r="BK24" s="13">
        <f t="shared" si="17"/>
        <v>0</v>
      </c>
      <c r="BL24" s="42"/>
      <c r="BM24" s="9"/>
      <c r="BN24" s="13">
        <f t="shared" si="18"/>
        <v>0</v>
      </c>
      <c r="BO24" s="42"/>
      <c r="BP24" s="18"/>
      <c r="BQ24" s="13">
        <f t="shared" si="19"/>
        <v>0</v>
      </c>
      <c r="BR24" s="42"/>
      <c r="BS24" s="18"/>
      <c r="BT24" s="13">
        <f t="shared" si="20"/>
        <v>0</v>
      </c>
      <c r="BU24" s="42"/>
      <c r="BV24" s="9"/>
      <c r="BW24" s="13">
        <f t="shared" si="21"/>
        <v>0</v>
      </c>
      <c r="BX24" s="42"/>
      <c r="BY24" s="9"/>
      <c r="BZ24" s="13">
        <f t="shared" si="22"/>
        <v>0</v>
      </c>
      <c r="CA24" s="42"/>
      <c r="CB24" s="9"/>
      <c r="CC24" s="13"/>
      <c r="CD24" s="42"/>
      <c r="CE24" s="9"/>
      <c r="CF24" s="13"/>
      <c r="CG24" s="42"/>
      <c r="CH24" s="9"/>
      <c r="CI24" s="13"/>
      <c r="CJ24" s="42"/>
      <c r="CK24" s="9"/>
      <c r="CL24" s="13"/>
      <c r="CM24" s="42"/>
      <c r="CN24" s="9"/>
      <c r="CO24" s="13"/>
      <c r="CP24" s="42"/>
      <c r="CQ24" s="9"/>
      <c r="CR24" s="13"/>
      <c r="CS24" s="42"/>
      <c r="CT24" s="9"/>
      <c r="CU24" s="13"/>
      <c r="CV24" s="42"/>
      <c r="CW24" s="9"/>
      <c r="CX24" s="13"/>
      <c r="CY24" s="42"/>
      <c r="CZ24" s="9"/>
      <c r="DA24" s="13"/>
      <c r="DB24" s="42"/>
    </row>
    <row r="25" spans="1:106" s="8" customFormat="1" hidden="1" x14ac:dyDescent="0.35">
      <c r="A25" s="54">
        <v>10310190</v>
      </c>
      <c r="B25" s="54" t="s">
        <v>33</v>
      </c>
      <c r="C25" s="47">
        <v>40</v>
      </c>
      <c r="D25" s="46">
        <v>9</v>
      </c>
      <c r="E25" s="48">
        <v>6300</v>
      </c>
      <c r="F25" s="52">
        <v>560</v>
      </c>
      <c r="G25" s="48" t="s">
        <v>0</v>
      </c>
      <c r="H25" s="26"/>
      <c r="I25" s="20"/>
      <c r="J25" s="20"/>
      <c r="K25" s="41"/>
      <c r="L25" s="41"/>
      <c r="M25" s="20">
        <f t="shared" si="0"/>
        <v>0</v>
      </c>
      <c r="N25" s="20">
        <f t="shared" si="1"/>
        <v>0</v>
      </c>
      <c r="O25" s="26">
        <f t="shared" si="32"/>
        <v>0</v>
      </c>
      <c r="P25" s="26">
        <f t="shared" si="2"/>
        <v>0</v>
      </c>
      <c r="Q25" s="2"/>
      <c r="R25" s="13">
        <f t="shared" si="34"/>
        <v>0</v>
      </c>
      <c r="S25" s="42"/>
      <c r="T25" s="2"/>
      <c r="U25" s="13">
        <f t="shared" si="4"/>
        <v>0</v>
      </c>
      <c r="V25" s="42"/>
      <c r="W25" s="2"/>
      <c r="X25" s="13">
        <f t="shared" si="5"/>
        <v>0</v>
      </c>
      <c r="Y25" s="42"/>
      <c r="Z25" s="2"/>
      <c r="AA25" s="13">
        <f t="shared" si="6"/>
        <v>0</v>
      </c>
      <c r="AB25" s="42"/>
      <c r="AC25" s="2"/>
      <c r="AD25" s="13">
        <f t="shared" si="7"/>
        <v>0</v>
      </c>
      <c r="AE25" s="42"/>
      <c r="AF25" s="2"/>
      <c r="AG25" s="13">
        <f t="shared" si="8"/>
        <v>0</v>
      </c>
      <c r="AH25" s="42"/>
      <c r="AI25" s="7"/>
      <c r="AJ25" s="13">
        <f t="shared" si="9"/>
        <v>0</v>
      </c>
      <c r="AK25" s="42"/>
      <c r="AL25" s="7"/>
      <c r="AM25" s="13">
        <f t="shared" si="33"/>
        <v>0</v>
      </c>
      <c r="AN25" s="42"/>
      <c r="AO25" s="9"/>
      <c r="AP25" s="13">
        <f t="shared" si="10"/>
        <v>0</v>
      </c>
      <c r="AQ25" s="42"/>
      <c r="AR25" s="9"/>
      <c r="AS25" s="13">
        <f t="shared" si="11"/>
        <v>0</v>
      </c>
      <c r="AT25" s="42"/>
      <c r="AU25" s="9"/>
      <c r="AV25" s="13">
        <f t="shared" si="12"/>
        <v>0</v>
      </c>
      <c r="AW25" s="42"/>
      <c r="AX25" s="7"/>
      <c r="AY25" s="13">
        <f t="shared" si="13"/>
        <v>0</v>
      </c>
      <c r="AZ25" s="42"/>
      <c r="BA25" s="7"/>
      <c r="BB25" s="13">
        <f t="shared" si="14"/>
        <v>0</v>
      </c>
      <c r="BC25" s="42"/>
      <c r="BD25" s="9"/>
      <c r="BE25" s="13">
        <f t="shared" si="15"/>
        <v>0</v>
      </c>
      <c r="BF25" s="42"/>
      <c r="BG25" s="9"/>
      <c r="BH25" s="13">
        <f t="shared" si="16"/>
        <v>0</v>
      </c>
      <c r="BI25" s="42"/>
      <c r="BJ25" s="9"/>
      <c r="BK25" s="13">
        <f t="shared" si="17"/>
        <v>0</v>
      </c>
      <c r="BL25" s="42"/>
      <c r="BM25" s="9"/>
      <c r="BN25" s="13">
        <f t="shared" si="18"/>
        <v>0</v>
      </c>
      <c r="BO25" s="42"/>
      <c r="BP25" s="9"/>
      <c r="BQ25" s="13">
        <f t="shared" si="19"/>
        <v>0</v>
      </c>
      <c r="BR25" s="42"/>
      <c r="BS25" s="9"/>
      <c r="BT25" s="13">
        <f t="shared" si="20"/>
        <v>0</v>
      </c>
      <c r="BU25" s="42"/>
      <c r="BV25" s="9"/>
      <c r="BW25" s="13">
        <f t="shared" si="21"/>
        <v>0</v>
      </c>
      <c r="BX25" s="42"/>
      <c r="BY25" s="9"/>
      <c r="BZ25" s="13">
        <f t="shared" si="22"/>
        <v>0</v>
      </c>
      <c r="CA25" s="42"/>
      <c r="CB25" s="9"/>
      <c r="CC25" s="13">
        <f t="shared" si="23"/>
        <v>0</v>
      </c>
      <c r="CD25" s="42"/>
      <c r="CE25" s="9"/>
      <c r="CF25" s="13">
        <f t="shared" si="24"/>
        <v>0</v>
      </c>
      <c r="CG25" s="42"/>
      <c r="CH25" s="9"/>
      <c r="CI25" s="13">
        <f t="shared" si="25"/>
        <v>0</v>
      </c>
      <c r="CJ25" s="42"/>
      <c r="CK25" s="9"/>
      <c r="CL25" s="13">
        <f t="shared" si="26"/>
        <v>0</v>
      </c>
      <c r="CM25" s="42"/>
      <c r="CN25" s="9"/>
      <c r="CO25" s="13">
        <f t="shared" si="27"/>
        <v>0</v>
      </c>
      <c r="CP25" s="43"/>
      <c r="CQ25" s="9"/>
      <c r="CR25" s="13">
        <f t="shared" si="28"/>
        <v>0</v>
      </c>
      <c r="CS25" s="43"/>
      <c r="CT25" s="9"/>
      <c r="CU25" s="13">
        <f t="shared" si="29"/>
        <v>0</v>
      </c>
      <c r="CV25" s="43"/>
      <c r="CW25" s="9"/>
      <c r="CX25" s="13">
        <f t="shared" si="30"/>
        <v>0</v>
      </c>
      <c r="CY25" s="43"/>
      <c r="CZ25" s="9"/>
      <c r="DA25" s="13">
        <f t="shared" si="31"/>
        <v>0</v>
      </c>
      <c r="DB25" s="43"/>
    </row>
    <row r="26" spans="1:106" x14ac:dyDescent="0.35">
      <c r="A26" s="54">
        <v>10310191</v>
      </c>
      <c r="B26" s="54" t="s">
        <v>32</v>
      </c>
      <c r="C26" s="47">
        <v>40</v>
      </c>
      <c r="D26" s="46">
        <v>9</v>
      </c>
      <c r="E26" s="48">
        <v>6300</v>
      </c>
      <c r="F26" s="52">
        <v>10840</v>
      </c>
      <c r="G26" s="48" t="s">
        <v>0</v>
      </c>
      <c r="H26" s="26"/>
      <c r="I26" s="20"/>
      <c r="J26" s="20"/>
      <c r="K26" s="41"/>
      <c r="L26" s="41"/>
      <c r="M26" s="20">
        <f t="shared" si="0"/>
        <v>0</v>
      </c>
      <c r="N26" s="20">
        <f t="shared" si="1"/>
        <v>0</v>
      </c>
      <c r="O26" s="26">
        <f t="shared" si="32"/>
        <v>10000</v>
      </c>
      <c r="P26" s="26">
        <f t="shared" si="2"/>
        <v>0</v>
      </c>
      <c r="Q26" s="3"/>
      <c r="R26" s="27">
        <f t="shared" si="34"/>
        <v>0</v>
      </c>
      <c r="S26" s="42"/>
      <c r="T26" s="3"/>
      <c r="U26" s="13">
        <f t="shared" si="4"/>
        <v>0</v>
      </c>
      <c r="V26" s="42"/>
      <c r="W26" s="3">
        <v>5000</v>
      </c>
      <c r="X26" s="13">
        <f t="shared" si="5"/>
        <v>45</v>
      </c>
      <c r="Y26" s="42"/>
      <c r="Z26" s="2">
        <v>5000</v>
      </c>
      <c r="AA26" s="13">
        <f t="shared" si="6"/>
        <v>45</v>
      </c>
      <c r="AB26" s="42"/>
      <c r="AC26" s="3"/>
      <c r="AD26" s="13">
        <f t="shared" si="7"/>
        <v>0</v>
      </c>
      <c r="AE26" s="42"/>
      <c r="AF26" s="2"/>
      <c r="AG26" s="13">
        <f t="shared" si="8"/>
        <v>0</v>
      </c>
      <c r="AH26" s="42"/>
      <c r="AI26" s="6"/>
      <c r="AJ26" s="13">
        <f t="shared" si="9"/>
        <v>0</v>
      </c>
      <c r="AK26" s="42"/>
      <c r="AL26" s="7"/>
      <c r="AM26" s="13">
        <f t="shared" si="33"/>
        <v>0</v>
      </c>
      <c r="AN26" s="42"/>
      <c r="AO26" s="9"/>
      <c r="AP26" s="13">
        <f t="shared" si="10"/>
        <v>0</v>
      </c>
      <c r="AQ26" s="42"/>
      <c r="AR26" s="9"/>
      <c r="AS26" s="13">
        <f t="shared" si="11"/>
        <v>0</v>
      </c>
      <c r="AT26" s="42"/>
      <c r="AU26" s="9"/>
      <c r="AV26" s="13">
        <f t="shared" si="12"/>
        <v>0</v>
      </c>
      <c r="AW26" s="42"/>
      <c r="AX26" s="9"/>
      <c r="AY26" s="13">
        <f t="shared" si="13"/>
        <v>0</v>
      </c>
      <c r="AZ26" s="42"/>
      <c r="BA26" s="9"/>
      <c r="BB26" s="13">
        <f t="shared" si="14"/>
        <v>0</v>
      </c>
      <c r="BC26" s="42"/>
      <c r="BD26" s="9"/>
      <c r="BE26" s="13">
        <f t="shared" si="15"/>
        <v>0</v>
      </c>
      <c r="BF26" s="42"/>
      <c r="BG26" s="9"/>
      <c r="BH26" s="13">
        <f t="shared" si="16"/>
        <v>0</v>
      </c>
      <c r="BI26" s="42"/>
      <c r="BJ26" s="9"/>
      <c r="BK26" s="13">
        <f t="shared" si="17"/>
        <v>0</v>
      </c>
      <c r="BL26" s="42"/>
      <c r="BM26" s="9"/>
      <c r="BN26" s="13">
        <f t="shared" si="18"/>
        <v>0</v>
      </c>
      <c r="BO26" s="42"/>
      <c r="BP26" s="18"/>
      <c r="BQ26" s="13">
        <f t="shared" si="19"/>
        <v>0</v>
      </c>
      <c r="BR26" s="42"/>
      <c r="BS26" s="9"/>
      <c r="BT26" s="13">
        <f t="shared" si="20"/>
        <v>0</v>
      </c>
      <c r="BU26" s="42"/>
      <c r="BV26" s="9"/>
      <c r="BW26" s="13">
        <f t="shared" si="21"/>
        <v>0</v>
      </c>
      <c r="BX26" s="42"/>
      <c r="BY26" s="9"/>
      <c r="BZ26" s="13">
        <f t="shared" si="22"/>
        <v>0</v>
      </c>
      <c r="CA26" s="42"/>
      <c r="CB26" s="9"/>
      <c r="CC26" s="13">
        <f t="shared" si="23"/>
        <v>0</v>
      </c>
      <c r="CD26" s="42"/>
      <c r="CE26" s="9"/>
      <c r="CF26" s="13">
        <f t="shared" si="24"/>
        <v>0</v>
      </c>
      <c r="CG26" s="42"/>
      <c r="CH26" s="9"/>
      <c r="CI26" s="13">
        <f t="shared" si="25"/>
        <v>0</v>
      </c>
      <c r="CJ26" s="42"/>
      <c r="CK26" s="9"/>
      <c r="CL26" s="13">
        <f t="shared" si="26"/>
        <v>0</v>
      </c>
      <c r="CM26" s="42"/>
      <c r="CN26" s="9"/>
      <c r="CO26" s="13">
        <f t="shared" si="27"/>
        <v>0</v>
      </c>
      <c r="CP26" s="42"/>
      <c r="CQ26" s="9"/>
      <c r="CR26" s="13">
        <f t="shared" si="28"/>
        <v>0</v>
      </c>
      <c r="CS26" s="42"/>
      <c r="CT26" s="9"/>
      <c r="CU26" s="13">
        <f t="shared" si="29"/>
        <v>0</v>
      </c>
      <c r="CV26" s="42"/>
      <c r="CW26" s="9"/>
      <c r="CX26" s="13">
        <f t="shared" si="30"/>
        <v>0</v>
      </c>
      <c r="CY26" s="42"/>
      <c r="CZ26" s="9"/>
      <c r="DA26" s="13">
        <f t="shared" si="31"/>
        <v>0</v>
      </c>
      <c r="DB26" s="42"/>
    </row>
    <row r="27" spans="1:106" ht="14.5" customHeight="1" x14ac:dyDescent="0.35">
      <c r="A27" s="54">
        <v>10310192</v>
      </c>
      <c r="B27" s="54" t="s">
        <v>34</v>
      </c>
      <c r="C27" s="47">
        <v>40</v>
      </c>
      <c r="D27" s="46">
        <v>9</v>
      </c>
      <c r="E27" s="48">
        <v>6300</v>
      </c>
      <c r="F27" s="52">
        <v>1960</v>
      </c>
      <c r="G27" s="48" t="s">
        <v>0</v>
      </c>
      <c r="H27" s="26"/>
      <c r="I27" s="20"/>
      <c r="J27" s="20"/>
      <c r="K27" s="41"/>
      <c r="L27" s="41"/>
      <c r="M27" s="20">
        <f t="shared" si="0"/>
        <v>0</v>
      </c>
      <c r="N27" s="20">
        <f t="shared" si="1"/>
        <v>0</v>
      </c>
      <c r="O27" s="26">
        <f t="shared" si="32"/>
        <v>3000</v>
      </c>
      <c r="P27" s="26">
        <f t="shared" si="2"/>
        <v>0</v>
      </c>
      <c r="Q27" s="3"/>
      <c r="R27" s="27">
        <f t="shared" si="34"/>
        <v>0</v>
      </c>
      <c r="S27" s="42"/>
      <c r="T27" s="3"/>
      <c r="U27" s="13">
        <f t="shared" si="4"/>
        <v>0</v>
      </c>
      <c r="V27" s="42"/>
      <c r="W27" s="3"/>
      <c r="X27" s="13">
        <f t="shared" si="5"/>
        <v>0</v>
      </c>
      <c r="Y27" s="42"/>
      <c r="Z27" s="2"/>
      <c r="AA27" s="13">
        <f t="shared" si="6"/>
        <v>0</v>
      </c>
      <c r="AB27" s="42"/>
      <c r="AC27" s="3">
        <v>3000</v>
      </c>
      <c r="AD27" s="13">
        <f t="shared" si="7"/>
        <v>27</v>
      </c>
      <c r="AE27" s="42"/>
      <c r="AF27" s="2"/>
      <c r="AG27" s="13">
        <f t="shared" si="8"/>
        <v>0</v>
      </c>
      <c r="AH27" s="42"/>
      <c r="AI27" s="6"/>
      <c r="AJ27" s="13">
        <f t="shared" si="9"/>
        <v>0</v>
      </c>
      <c r="AK27" s="42"/>
      <c r="AL27" s="7"/>
      <c r="AM27" s="13">
        <f t="shared" si="33"/>
        <v>0</v>
      </c>
      <c r="AN27" s="42"/>
      <c r="AO27" s="9"/>
      <c r="AP27" s="13">
        <f t="shared" si="10"/>
        <v>0</v>
      </c>
      <c r="AQ27" s="42"/>
      <c r="AR27" s="9"/>
      <c r="AS27" s="13">
        <f t="shared" si="11"/>
        <v>0</v>
      </c>
      <c r="AT27" s="42"/>
      <c r="AU27" s="9"/>
      <c r="AV27" s="13">
        <f t="shared" si="12"/>
        <v>0</v>
      </c>
      <c r="AW27" s="42"/>
      <c r="AX27" s="9"/>
      <c r="AY27" s="13">
        <f t="shared" si="13"/>
        <v>0</v>
      </c>
      <c r="AZ27" s="42"/>
      <c r="BA27" s="9"/>
      <c r="BB27" s="13">
        <f t="shared" si="14"/>
        <v>0</v>
      </c>
      <c r="BC27" s="42"/>
      <c r="BD27" s="9"/>
      <c r="BE27" s="13">
        <f t="shared" si="15"/>
        <v>0</v>
      </c>
      <c r="BF27" s="42"/>
      <c r="BG27" s="9"/>
      <c r="BH27" s="13">
        <f t="shared" si="16"/>
        <v>0</v>
      </c>
      <c r="BI27" s="42"/>
      <c r="BJ27" s="9"/>
      <c r="BK27" s="13">
        <f t="shared" si="17"/>
        <v>0</v>
      </c>
      <c r="BL27" s="42"/>
      <c r="BM27" s="9"/>
      <c r="BN27" s="13">
        <f t="shared" si="18"/>
        <v>0</v>
      </c>
      <c r="BO27" s="42"/>
      <c r="BP27" s="9"/>
      <c r="BQ27" s="13">
        <f t="shared" si="19"/>
        <v>0</v>
      </c>
      <c r="BR27" s="42"/>
      <c r="BS27" s="9"/>
      <c r="BT27" s="13">
        <f t="shared" si="20"/>
        <v>0</v>
      </c>
      <c r="BU27" s="42"/>
      <c r="BV27" s="9"/>
      <c r="BW27" s="13">
        <f t="shared" si="21"/>
        <v>0</v>
      </c>
      <c r="BX27" s="42"/>
      <c r="BY27" s="9"/>
      <c r="BZ27" s="13">
        <f t="shared" si="22"/>
        <v>0</v>
      </c>
      <c r="CA27" s="42"/>
      <c r="CB27" s="9"/>
      <c r="CC27" s="13">
        <f t="shared" si="23"/>
        <v>0</v>
      </c>
      <c r="CD27" s="42"/>
      <c r="CE27" s="9"/>
      <c r="CF27" s="13">
        <f t="shared" si="24"/>
        <v>0</v>
      </c>
      <c r="CG27" s="42"/>
      <c r="CH27" s="9"/>
      <c r="CI27" s="13">
        <f t="shared" si="25"/>
        <v>0</v>
      </c>
      <c r="CJ27" s="42"/>
      <c r="CK27" s="9"/>
      <c r="CL27" s="13">
        <f t="shared" si="26"/>
        <v>0</v>
      </c>
      <c r="CM27" s="42"/>
      <c r="CN27" s="9"/>
      <c r="CO27" s="13">
        <f t="shared" si="27"/>
        <v>0</v>
      </c>
      <c r="CP27" s="42"/>
      <c r="CQ27" s="9"/>
      <c r="CR27" s="13">
        <f t="shared" si="28"/>
        <v>0</v>
      </c>
      <c r="CS27" s="42"/>
      <c r="CT27" s="9"/>
      <c r="CU27" s="13">
        <f t="shared" si="29"/>
        <v>0</v>
      </c>
      <c r="CV27" s="42"/>
      <c r="CW27" s="9"/>
      <c r="CX27" s="13">
        <f t="shared" si="30"/>
        <v>0</v>
      </c>
      <c r="CY27" s="42"/>
      <c r="CZ27" s="9"/>
      <c r="DA27" s="13">
        <f t="shared" si="31"/>
        <v>0</v>
      </c>
      <c r="DB27" s="42"/>
    </row>
    <row r="28" spans="1:106" x14ac:dyDescent="0.35">
      <c r="A28" s="54">
        <v>10310193</v>
      </c>
      <c r="B28" s="54" t="s">
        <v>35</v>
      </c>
      <c r="C28" s="47">
        <v>40</v>
      </c>
      <c r="D28" s="46">
        <v>9</v>
      </c>
      <c r="E28" s="48">
        <v>6300</v>
      </c>
      <c r="F28" s="52">
        <v>960</v>
      </c>
      <c r="G28" s="48" t="s">
        <v>0</v>
      </c>
      <c r="H28" s="26"/>
      <c r="I28" s="20"/>
      <c r="J28" s="20"/>
      <c r="K28" s="41"/>
      <c r="L28" s="41"/>
      <c r="M28" s="20">
        <f t="shared" si="0"/>
        <v>0</v>
      </c>
      <c r="N28" s="20">
        <f t="shared" si="1"/>
        <v>0</v>
      </c>
      <c r="O28" s="26">
        <f t="shared" si="32"/>
        <v>1000</v>
      </c>
      <c r="P28" s="26">
        <f t="shared" si="2"/>
        <v>0</v>
      </c>
      <c r="Q28" s="3"/>
      <c r="R28" s="27">
        <f t="shared" si="34"/>
        <v>0</v>
      </c>
      <c r="S28" s="42"/>
      <c r="T28" s="3"/>
      <c r="U28" s="13">
        <f t="shared" si="4"/>
        <v>0</v>
      </c>
      <c r="V28" s="42"/>
      <c r="W28" s="3"/>
      <c r="X28" s="13">
        <f t="shared" si="5"/>
        <v>0</v>
      </c>
      <c r="Y28" s="42"/>
      <c r="Z28" s="2"/>
      <c r="AA28" s="13">
        <f t="shared" si="6"/>
        <v>0</v>
      </c>
      <c r="AB28" s="42"/>
      <c r="AC28" s="3"/>
      <c r="AD28" s="13">
        <f t="shared" si="7"/>
        <v>0</v>
      </c>
      <c r="AE28" s="42"/>
      <c r="AF28" s="6"/>
      <c r="AG28" s="13">
        <f t="shared" si="8"/>
        <v>0</v>
      </c>
      <c r="AH28" s="42"/>
      <c r="AI28" s="3"/>
      <c r="AJ28" s="13">
        <f t="shared" si="9"/>
        <v>0</v>
      </c>
      <c r="AK28" s="42"/>
      <c r="AL28" s="7"/>
      <c r="AM28" s="13">
        <f t="shared" si="33"/>
        <v>0</v>
      </c>
      <c r="AN28" s="42"/>
      <c r="AO28" s="9"/>
      <c r="AP28" s="13">
        <f t="shared" si="10"/>
        <v>0</v>
      </c>
      <c r="AQ28" s="42"/>
      <c r="AR28" s="9">
        <v>1000</v>
      </c>
      <c r="AS28" s="13">
        <f t="shared" si="11"/>
        <v>9</v>
      </c>
      <c r="AT28" s="42"/>
      <c r="AU28" s="7"/>
      <c r="AV28" s="13">
        <f t="shared" si="12"/>
        <v>0</v>
      </c>
      <c r="AW28" s="42"/>
      <c r="AX28" s="9"/>
      <c r="AY28" s="13">
        <f t="shared" si="13"/>
        <v>0</v>
      </c>
      <c r="AZ28" s="42"/>
      <c r="BA28" s="9"/>
      <c r="BB28" s="13">
        <f t="shared" si="14"/>
        <v>0</v>
      </c>
      <c r="BC28" s="42"/>
      <c r="BD28" s="9"/>
      <c r="BE28" s="13">
        <f t="shared" si="15"/>
        <v>0</v>
      </c>
      <c r="BF28" s="42"/>
      <c r="BG28" s="9"/>
      <c r="BH28" s="13">
        <f t="shared" si="16"/>
        <v>0</v>
      </c>
      <c r="BI28" s="42"/>
      <c r="BJ28" s="9"/>
      <c r="BK28" s="13">
        <f t="shared" si="17"/>
        <v>0</v>
      </c>
      <c r="BL28" s="42"/>
      <c r="BM28" s="9"/>
      <c r="BN28" s="13">
        <f t="shared" si="18"/>
        <v>0</v>
      </c>
      <c r="BO28" s="42"/>
      <c r="BP28" s="9"/>
      <c r="BQ28" s="13">
        <f t="shared" si="19"/>
        <v>0</v>
      </c>
      <c r="BR28" s="42"/>
      <c r="BS28" s="9"/>
      <c r="BT28" s="13">
        <f t="shared" si="20"/>
        <v>0</v>
      </c>
      <c r="BU28" s="42"/>
      <c r="BV28" s="9"/>
      <c r="BW28" s="13">
        <f t="shared" si="21"/>
        <v>0</v>
      </c>
      <c r="BX28" s="42"/>
      <c r="BY28" s="9"/>
      <c r="BZ28" s="13">
        <f t="shared" si="22"/>
        <v>0</v>
      </c>
      <c r="CA28" s="42"/>
      <c r="CB28" s="9"/>
      <c r="CC28" s="13">
        <f t="shared" si="23"/>
        <v>0</v>
      </c>
      <c r="CD28" s="42"/>
      <c r="CE28" s="9"/>
      <c r="CF28" s="13">
        <f t="shared" si="24"/>
        <v>0</v>
      </c>
      <c r="CG28" s="42"/>
      <c r="CH28" s="9"/>
      <c r="CI28" s="13">
        <f t="shared" si="25"/>
        <v>0</v>
      </c>
      <c r="CJ28" s="42"/>
      <c r="CK28" s="9"/>
      <c r="CL28" s="13">
        <f t="shared" si="26"/>
        <v>0</v>
      </c>
      <c r="CM28" s="42"/>
      <c r="CN28" s="9"/>
      <c r="CO28" s="13">
        <f t="shared" si="27"/>
        <v>0</v>
      </c>
      <c r="CP28" s="42"/>
      <c r="CQ28" s="9"/>
      <c r="CR28" s="13">
        <f t="shared" si="28"/>
        <v>0</v>
      </c>
      <c r="CS28" s="42"/>
      <c r="CT28" s="9"/>
      <c r="CU28" s="13">
        <f t="shared" si="29"/>
        <v>0</v>
      </c>
      <c r="CV28" s="42"/>
      <c r="CW28" s="9"/>
      <c r="CX28" s="13">
        <f t="shared" si="30"/>
        <v>0</v>
      </c>
      <c r="CY28" s="42"/>
      <c r="CZ28" s="9"/>
      <c r="DA28" s="13">
        <f t="shared" si="31"/>
        <v>0</v>
      </c>
      <c r="DB28" s="42"/>
    </row>
    <row r="29" spans="1:106" x14ac:dyDescent="0.35">
      <c r="A29" s="54">
        <v>10310194</v>
      </c>
      <c r="B29" s="54" t="s">
        <v>36</v>
      </c>
      <c r="C29" s="47">
        <v>40</v>
      </c>
      <c r="D29" s="46">
        <v>9</v>
      </c>
      <c r="E29" s="48">
        <v>6300</v>
      </c>
      <c r="F29" s="52">
        <v>2280</v>
      </c>
      <c r="G29" s="48" t="s">
        <v>0</v>
      </c>
      <c r="H29" s="26"/>
      <c r="I29" s="20"/>
      <c r="J29" s="20"/>
      <c r="K29" s="41"/>
      <c r="L29" s="41"/>
      <c r="M29" s="20">
        <f t="shared" si="0"/>
        <v>0</v>
      </c>
      <c r="N29" s="20">
        <f t="shared" si="1"/>
        <v>0</v>
      </c>
      <c r="O29" s="26">
        <f t="shared" si="32"/>
        <v>3000</v>
      </c>
      <c r="P29" s="26">
        <f t="shared" si="2"/>
        <v>0</v>
      </c>
      <c r="Q29" s="3"/>
      <c r="R29" s="27">
        <f t="shared" si="34"/>
        <v>0</v>
      </c>
      <c r="S29" s="42"/>
      <c r="T29" s="3"/>
      <c r="U29" s="13">
        <f t="shared" si="4"/>
        <v>0</v>
      </c>
      <c r="V29" s="42"/>
      <c r="W29" s="3"/>
      <c r="X29" s="13">
        <f t="shared" si="5"/>
        <v>0</v>
      </c>
      <c r="Y29" s="42"/>
      <c r="Z29" s="2"/>
      <c r="AA29" s="13">
        <f t="shared" si="6"/>
        <v>0</v>
      </c>
      <c r="AB29" s="42"/>
      <c r="AC29" s="3">
        <v>3000</v>
      </c>
      <c r="AD29" s="13">
        <f t="shared" si="7"/>
        <v>27</v>
      </c>
      <c r="AE29" s="42"/>
      <c r="AF29" s="3"/>
      <c r="AG29" s="13">
        <f t="shared" si="8"/>
        <v>0</v>
      </c>
      <c r="AH29" s="42"/>
      <c r="AI29" s="6"/>
      <c r="AJ29" s="13">
        <f t="shared" si="9"/>
        <v>0</v>
      </c>
      <c r="AK29" s="42"/>
      <c r="AL29" s="7"/>
      <c r="AM29" s="13">
        <f t="shared" si="33"/>
        <v>0</v>
      </c>
      <c r="AN29" s="42"/>
      <c r="AO29" s="9"/>
      <c r="AP29" s="13">
        <f t="shared" si="10"/>
        <v>0</v>
      </c>
      <c r="AQ29" s="42"/>
      <c r="AR29" s="9"/>
      <c r="AS29" s="13">
        <f t="shared" si="11"/>
        <v>0</v>
      </c>
      <c r="AT29" s="42"/>
      <c r="AU29" s="9"/>
      <c r="AV29" s="13">
        <f t="shared" si="12"/>
        <v>0</v>
      </c>
      <c r="AW29" s="42"/>
      <c r="AX29" s="9"/>
      <c r="AY29" s="13">
        <f t="shared" si="13"/>
        <v>0</v>
      </c>
      <c r="AZ29" s="42"/>
      <c r="BA29" s="9"/>
      <c r="BB29" s="13">
        <f t="shared" si="14"/>
        <v>0</v>
      </c>
      <c r="BC29" s="42"/>
      <c r="BD29" s="9"/>
      <c r="BE29" s="13">
        <f t="shared" si="15"/>
        <v>0</v>
      </c>
      <c r="BF29" s="42"/>
      <c r="BG29" s="9"/>
      <c r="BH29" s="13">
        <f t="shared" si="16"/>
        <v>0</v>
      </c>
      <c r="BI29" s="42"/>
      <c r="BJ29" s="9"/>
      <c r="BK29" s="13">
        <f t="shared" si="17"/>
        <v>0</v>
      </c>
      <c r="BL29" s="42"/>
      <c r="BM29" s="9"/>
      <c r="BN29" s="13">
        <f t="shared" si="18"/>
        <v>0</v>
      </c>
      <c r="BO29" s="42"/>
      <c r="BP29" s="9"/>
      <c r="BQ29" s="13">
        <f t="shared" si="19"/>
        <v>0</v>
      </c>
      <c r="BR29" s="42"/>
      <c r="BS29" s="9"/>
      <c r="BT29" s="13">
        <f t="shared" si="20"/>
        <v>0</v>
      </c>
      <c r="BU29" s="42"/>
      <c r="BV29" s="9"/>
      <c r="BW29" s="13">
        <f t="shared" si="21"/>
        <v>0</v>
      </c>
      <c r="BX29" s="42"/>
      <c r="BY29" s="9"/>
      <c r="BZ29" s="13">
        <f t="shared" si="22"/>
        <v>0</v>
      </c>
      <c r="CA29" s="42"/>
      <c r="CB29" s="9"/>
      <c r="CC29" s="13">
        <f t="shared" si="23"/>
        <v>0</v>
      </c>
      <c r="CD29" s="42"/>
      <c r="CE29" s="9"/>
      <c r="CF29" s="13">
        <f t="shared" si="24"/>
        <v>0</v>
      </c>
      <c r="CG29" s="42"/>
      <c r="CH29" s="9"/>
      <c r="CI29" s="13">
        <f t="shared" si="25"/>
        <v>0</v>
      </c>
      <c r="CJ29" s="42"/>
      <c r="CK29" s="9"/>
      <c r="CL29" s="13">
        <f t="shared" si="26"/>
        <v>0</v>
      </c>
      <c r="CM29" s="42"/>
      <c r="CN29" s="9"/>
      <c r="CO29" s="13">
        <f t="shared" si="27"/>
        <v>0</v>
      </c>
      <c r="CP29" s="42"/>
      <c r="CQ29" s="9"/>
      <c r="CR29" s="13">
        <f t="shared" si="28"/>
        <v>0</v>
      </c>
      <c r="CS29" s="42"/>
      <c r="CT29" s="9"/>
      <c r="CU29" s="13">
        <f t="shared" si="29"/>
        <v>0</v>
      </c>
      <c r="CV29" s="42"/>
      <c r="CW29" s="9"/>
      <c r="CX29" s="13">
        <f t="shared" si="30"/>
        <v>0</v>
      </c>
      <c r="CY29" s="42"/>
      <c r="CZ29" s="9"/>
      <c r="DA29" s="13">
        <f t="shared" si="31"/>
        <v>0</v>
      </c>
      <c r="DB29" s="42"/>
    </row>
    <row r="30" spans="1:106" hidden="1" x14ac:dyDescent="0.35">
      <c r="A30" s="54">
        <v>10310297</v>
      </c>
      <c r="B30" s="54" t="s">
        <v>77</v>
      </c>
      <c r="C30" s="51">
        <v>24</v>
      </c>
      <c r="D30" s="46">
        <v>15</v>
      </c>
      <c r="E30" s="48"/>
      <c r="F30" s="52"/>
      <c r="G30" s="48" t="s">
        <v>0</v>
      </c>
      <c r="H30" s="26"/>
      <c r="I30" s="20"/>
      <c r="J30" s="20"/>
      <c r="K30" s="41"/>
      <c r="L30" s="41"/>
      <c r="M30" s="20"/>
      <c r="N30" s="20"/>
      <c r="O30" s="26">
        <f t="shared" si="32"/>
        <v>0</v>
      </c>
      <c r="P30" s="26">
        <f t="shared" si="2"/>
        <v>0</v>
      </c>
      <c r="Q30" s="3"/>
      <c r="R30" s="27">
        <f t="shared" si="34"/>
        <v>0</v>
      </c>
      <c r="S30" s="42"/>
      <c r="T30" s="3"/>
      <c r="U30" s="13">
        <f t="shared" si="4"/>
        <v>0</v>
      </c>
      <c r="V30" s="42"/>
      <c r="W30" s="3"/>
      <c r="X30" s="13">
        <f t="shared" si="5"/>
        <v>0</v>
      </c>
      <c r="Y30" s="42"/>
      <c r="Z30" s="2"/>
      <c r="AA30" s="13">
        <f t="shared" si="6"/>
        <v>0</v>
      </c>
      <c r="AB30" s="42"/>
      <c r="AC30" s="3"/>
      <c r="AD30" s="13">
        <f t="shared" si="7"/>
        <v>0</v>
      </c>
      <c r="AE30" s="42"/>
      <c r="AF30" s="3"/>
      <c r="AG30" s="13">
        <f t="shared" si="8"/>
        <v>0</v>
      </c>
      <c r="AH30" s="42"/>
      <c r="AI30" s="6"/>
      <c r="AJ30" s="13">
        <f t="shared" si="9"/>
        <v>0</v>
      </c>
      <c r="AK30" s="42"/>
      <c r="AL30" s="7"/>
      <c r="AM30" s="13">
        <f t="shared" si="33"/>
        <v>0</v>
      </c>
      <c r="AN30" s="42"/>
      <c r="AO30" s="9"/>
      <c r="AP30" s="13">
        <f t="shared" si="10"/>
        <v>0</v>
      </c>
      <c r="AQ30" s="42"/>
      <c r="AR30" s="9"/>
      <c r="AS30" s="13">
        <f t="shared" si="11"/>
        <v>0</v>
      </c>
      <c r="AT30" s="42"/>
      <c r="AU30" s="9"/>
      <c r="AV30" s="13">
        <f t="shared" si="12"/>
        <v>0</v>
      </c>
      <c r="AW30" s="42"/>
      <c r="AX30" s="9"/>
      <c r="AY30" s="13">
        <f t="shared" si="13"/>
        <v>0</v>
      </c>
      <c r="AZ30" s="42"/>
      <c r="BA30" s="9"/>
      <c r="BB30" s="13">
        <f t="shared" si="14"/>
        <v>0</v>
      </c>
      <c r="BC30" s="42"/>
      <c r="BD30" s="9"/>
      <c r="BE30" s="13">
        <f t="shared" si="15"/>
        <v>0</v>
      </c>
      <c r="BF30" s="42"/>
      <c r="BG30" s="9"/>
      <c r="BH30" s="13">
        <f t="shared" si="16"/>
        <v>0</v>
      </c>
      <c r="BI30" s="42"/>
      <c r="BJ30" s="9"/>
      <c r="BK30" s="13">
        <f t="shared" si="17"/>
        <v>0</v>
      </c>
      <c r="BL30" s="42"/>
      <c r="BM30" s="9"/>
      <c r="BN30" s="13">
        <f t="shared" si="18"/>
        <v>0</v>
      </c>
      <c r="BO30" s="42"/>
      <c r="BP30" s="9"/>
      <c r="BQ30" s="13">
        <f t="shared" si="19"/>
        <v>0</v>
      </c>
      <c r="BR30" s="42"/>
      <c r="BS30" s="9"/>
      <c r="BT30" s="13">
        <f t="shared" si="20"/>
        <v>0</v>
      </c>
      <c r="BU30" s="42"/>
      <c r="BV30" s="9"/>
      <c r="BW30" s="13">
        <f t="shared" si="21"/>
        <v>0</v>
      </c>
      <c r="BX30" s="42"/>
      <c r="BY30" s="9"/>
      <c r="BZ30" s="13">
        <f t="shared" si="22"/>
        <v>0</v>
      </c>
      <c r="CA30" s="42"/>
      <c r="CB30" s="9"/>
      <c r="CC30" s="13">
        <f t="shared" si="23"/>
        <v>0</v>
      </c>
      <c r="CD30" s="42"/>
      <c r="CE30" s="9"/>
      <c r="CF30" s="13">
        <f t="shared" si="24"/>
        <v>0</v>
      </c>
      <c r="CG30" s="42"/>
      <c r="CH30" s="9"/>
      <c r="CI30" s="13">
        <f t="shared" si="25"/>
        <v>0</v>
      </c>
      <c r="CJ30" s="42"/>
      <c r="CK30" s="9"/>
      <c r="CL30" s="13">
        <f t="shared" si="26"/>
        <v>0</v>
      </c>
      <c r="CM30" s="42"/>
      <c r="CN30" s="9"/>
      <c r="CO30" s="13">
        <f t="shared" si="27"/>
        <v>0</v>
      </c>
      <c r="CP30" s="42"/>
      <c r="CQ30" s="9"/>
      <c r="CR30" s="13">
        <f t="shared" si="28"/>
        <v>0</v>
      </c>
      <c r="CS30" s="42"/>
      <c r="CT30" s="9"/>
      <c r="CU30" s="13">
        <f t="shared" si="29"/>
        <v>0</v>
      </c>
      <c r="CV30" s="42"/>
      <c r="CW30" s="9"/>
      <c r="CX30" s="13">
        <f t="shared" si="30"/>
        <v>0</v>
      </c>
      <c r="CY30" s="42"/>
      <c r="CZ30" s="9"/>
      <c r="DA30" s="13">
        <f t="shared" si="31"/>
        <v>0</v>
      </c>
      <c r="DB30" s="42"/>
    </row>
    <row r="31" spans="1:106" hidden="1" x14ac:dyDescent="0.35">
      <c r="A31" s="54">
        <v>10310298</v>
      </c>
      <c r="B31" s="54" t="s">
        <v>78</v>
      </c>
      <c r="C31" s="7">
        <v>24</v>
      </c>
      <c r="D31" s="46">
        <v>15</v>
      </c>
      <c r="E31" s="48"/>
      <c r="F31" s="52"/>
      <c r="G31" s="48" t="s">
        <v>0</v>
      </c>
      <c r="H31" s="26"/>
      <c r="I31" s="20"/>
      <c r="J31" s="20"/>
      <c r="K31" s="41"/>
      <c r="L31" s="41"/>
      <c r="M31" s="20"/>
      <c r="N31" s="20"/>
      <c r="O31" s="26">
        <f t="shared" si="32"/>
        <v>0</v>
      </c>
      <c r="P31" s="26">
        <f t="shared" si="2"/>
        <v>0</v>
      </c>
      <c r="Q31" s="3"/>
      <c r="R31" s="27">
        <f t="shared" si="34"/>
        <v>0</v>
      </c>
      <c r="S31" s="42"/>
      <c r="T31" s="3"/>
      <c r="U31" s="13">
        <f t="shared" si="4"/>
        <v>0</v>
      </c>
      <c r="V31" s="42"/>
      <c r="W31" s="3"/>
      <c r="X31" s="13">
        <f t="shared" si="5"/>
        <v>0</v>
      </c>
      <c r="Y31" s="42"/>
      <c r="Z31" s="2"/>
      <c r="AA31" s="13">
        <f t="shared" si="6"/>
        <v>0</v>
      </c>
      <c r="AB31" s="42"/>
      <c r="AC31" s="3"/>
      <c r="AD31" s="13">
        <f t="shared" si="7"/>
        <v>0</v>
      </c>
      <c r="AE31" s="42"/>
      <c r="AF31" s="3"/>
      <c r="AG31" s="13">
        <f t="shared" si="8"/>
        <v>0</v>
      </c>
      <c r="AH31" s="42"/>
      <c r="AI31" s="6"/>
      <c r="AJ31" s="13">
        <f t="shared" si="9"/>
        <v>0</v>
      </c>
      <c r="AK31" s="42"/>
      <c r="AL31" s="7"/>
      <c r="AM31" s="13">
        <f t="shared" si="33"/>
        <v>0</v>
      </c>
      <c r="AN31" s="42"/>
      <c r="AO31" s="9"/>
      <c r="AP31" s="13">
        <f t="shared" si="10"/>
        <v>0</v>
      </c>
      <c r="AQ31" s="42"/>
      <c r="AR31" s="9"/>
      <c r="AS31" s="13">
        <f t="shared" si="11"/>
        <v>0</v>
      </c>
      <c r="AT31" s="42"/>
      <c r="AU31" s="9"/>
      <c r="AV31" s="13">
        <f t="shared" si="12"/>
        <v>0</v>
      </c>
      <c r="AW31" s="42"/>
      <c r="AX31" s="9"/>
      <c r="AY31" s="13">
        <f t="shared" si="13"/>
        <v>0</v>
      </c>
      <c r="AZ31" s="42"/>
      <c r="BA31" s="9"/>
      <c r="BB31" s="13">
        <f t="shared" si="14"/>
        <v>0</v>
      </c>
      <c r="BC31" s="42"/>
      <c r="BD31" s="9"/>
      <c r="BE31" s="13">
        <f t="shared" si="15"/>
        <v>0</v>
      </c>
      <c r="BF31" s="42"/>
      <c r="BG31" s="9"/>
      <c r="BH31" s="13">
        <f t="shared" si="16"/>
        <v>0</v>
      </c>
      <c r="BI31" s="42"/>
      <c r="BJ31" s="9"/>
      <c r="BK31" s="13">
        <f t="shared" si="17"/>
        <v>0</v>
      </c>
      <c r="BL31" s="42"/>
      <c r="BM31" s="9"/>
      <c r="BN31" s="13">
        <f t="shared" si="18"/>
        <v>0</v>
      </c>
      <c r="BO31" s="42"/>
      <c r="BP31" s="9"/>
      <c r="BQ31" s="13">
        <f t="shared" si="19"/>
        <v>0</v>
      </c>
      <c r="BR31" s="42"/>
      <c r="BS31" s="9"/>
      <c r="BT31" s="13">
        <f t="shared" si="20"/>
        <v>0</v>
      </c>
      <c r="BU31" s="42"/>
      <c r="BV31" s="9"/>
      <c r="BW31" s="13">
        <f t="shared" si="21"/>
        <v>0</v>
      </c>
      <c r="BX31" s="42"/>
      <c r="BY31" s="9"/>
      <c r="BZ31" s="13">
        <f t="shared" si="22"/>
        <v>0</v>
      </c>
      <c r="CA31" s="42"/>
      <c r="CB31" s="9"/>
      <c r="CC31" s="13">
        <f t="shared" si="23"/>
        <v>0</v>
      </c>
      <c r="CD31" s="42"/>
      <c r="CE31" s="9"/>
      <c r="CF31" s="13">
        <f t="shared" si="24"/>
        <v>0</v>
      </c>
      <c r="CG31" s="42"/>
      <c r="CH31" s="9"/>
      <c r="CI31" s="13">
        <f t="shared" si="25"/>
        <v>0</v>
      </c>
      <c r="CJ31" s="42"/>
      <c r="CK31" s="9"/>
      <c r="CL31" s="13">
        <f t="shared" si="26"/>
        <v>0</v>
      </c>
      <c r="CM31" s="42"/>
      <c r="CN31" s="9"/>
      <c r="CO31" s="13">
        <f t="shared" si="27"/>
        <v>0</v>
      </c>
      <c r="CP31" s="42"/>
      <c r="CQ31" s="9"/>
      <c r="CR31" s="13">
        <f t="shared" si="28"/>
        <v>0</v>
      </c>
      <c r="CS31" s="42"/>
      <c r="CT31" s="9"/>
      <c r="CU31" s="13">
        <f t="shared" si="29"/>
        <v>0</v>
      </c>
      <c r="CV31" s="42"/>
      <c r="CW31" s="9"/>
      <c r="CX31" s="13">
        <f t="shared" si="30"/>
        <v>0</v>
      </c>
      <c r="CY31" s="42"/>
      <c r="CZ31" s="9"/>
      <c r="DA31" s="13">
        <f t="shared" si="31"/>
        <v>0</v>
      </c>
      <c r="DB31" s="42"/>
    </row>
    <row r="32" spans="1:106" hidden="1" x14ac:dyDescent="0.35">
      <c r="A32" s="54">
        <v>10310299</v>
      </c>
      <c r="B32" s="54" t="s">
        <v>79</v>
      </c>
      <c r="C32" s="7">
        <v>18</v>
      </c>
      <c r="D32" s="46">
        <v>16</v>
      </c>
      <c r="E32" s="48"/>
      <c r="F32" s="52"/>
      <c r="G32" s="48" t="s">
        <v>0</v>
      </c>
      <c r="H32" s="26"/>
      <c r="I32" s="20"/>
      <c r="J32" s="20"/>
      <c r="K32" s="41"/>
      <c r="L32" s="41"/>
      <c r="M32" s="20"/>
      <c r="N32" s="20"/>
      <c r="O32" s="26">
        <f t="shared" si="32"/>
        <v>0</v>
      </c>
      <c r="P32" s="26">
        <f t="shared" si="2"/>
        <v>0</v>
      </c>
      <c r="Q32" s="3"/>
      <c r="R32" s="27">
        <f t="shared" si="34"/>
        <v>0</v>
      </c>
      <c r="S32" s="42"/>
      <c r="T32" s="3"/>
      <c r="U32" s="13">
        <f t="shared" si="4"/>
        <v>0</v>
      </c>
      <c r="V32" s="42"/>
      <c r="W32" s="3"/>
      <c r="X32" s="13">
        <f t="shared" si="5"/>
        <v>0</v>
      </c>
      <c r="Y32" s="42"/>
      <c r="Z32" s="3"/>
      <c r="AA32" s="13">
        <f t="shared" si="6"/>
        <v>0</v>
      </c>
      <c r="AB32" s="42"/>
      <c r="AC32" s="3"/>
      <c r="AD32" s="13">
        <f t="shared" si="7"/>
        <v>0</v>
      </c>
      <c r="AE32" s="42"/>
      <c r="AF32" s="3"/>
      <c r="AG32" s="13">
        <f t="shared" si="8"/>
        <v>0</v>
      </c>
      <c r="AH32" s="42"/>
      <c r="AI32" s="6"/>
      <c r="AJ32" s="13">
        <f t="shared" si="9"/>
        <v>0</v>
      </c>
      <c r="AK32" s="42"/>
      <c r="AL32" s="7"/>
      <c r="AM32" s="13">
        <f t="shared" si="33"/>
        <v>0</v>
      </c>
      <c r="AN32" s="42"/>
      <c r="AO32" s="9"/>
      <c r="AP32" s="13">
        <f t="shared" si="10"/>
        <v>0</v>
      </c>
      <c r="AQ32" s="42"/>
      <c r="AR32" s="9"/>
      <c r="AS32" s="13">
        <f t="shared" si="11"/>
        <v>0</v>
      </c>
      <c r="AT32" s="42"/>
      <c r="AU32" s="9"/>
      <c r="AV32" s="13">
        <f t="shared" si="12"/>
        <v>0</v>
      </c>
      <c r="AW32" s="42"/>
      <c r="AX32" s="9"/>
      <c r="AY32" s="13">
        <f t="shared" si="13"/>
        <v>0</v>
      </c>
      <c r="AZ32" s="42"/>
      <c r="BA32" s="9"/>
      <c r="BB32" s="13">
        <f t="shared" si="14"/>
        <v>0</v>
      </c>
      <c r="BC32" s="42"/>
      <c r="BD32" s="9"/>
      <c r="BE32" s="13">
        <f t="shared" si="15"/>
        <v>0</v>
      </c>
      <c r="BF32" s="42"/>
      <c r="BG32" s="9"/>
      <c r="BH32" s="13">
        <f t="shared" si="16"/>
        <v>0</v>
      </c>
      <c r="BI32" s="42"/>
      <c r="BJ32" s="9"/>
      <c r="BK32" s="13">
        <f t="shared" si="17"/>
        <v>0</v>
      </c>
      <c r="BL32" s="42"/>
      <c r="BM32" s="9"/>
      <c r="BN32" s="13">
        <f t="shared" si="18"/>
        <v>0</v>
      </c>
      <c r="BO32" s="42"/>
      <c r="BP32" s="9"/>
      <c r="BQ32" s="13">
        <f t="shared" si="19"/>
        <v>0</v>
      </c>
      <c r="BR32" s="42"/>
      <c r="BS32" s="9"/>
      <c r="BT32" s="13">
        <f t="shared" si="20"/>
        <v>0</v>
      </c>
      <c r="BU32" s="42"/>
      <c r="BV32" s="9"/>
      <c r="BW32" s="13">
        <f t="shared" si="21"/>
        <v>0</v>
      </c>
      <c r="BX32" s="42"/>
      <c r="BY32" s="9"/>
      <c r="BZ32" s="13">
        <f t="shared" si="22"/>
        <v>0</v>
      </c>
      <c r="CA32" s="42"/>
      <c r="CB32" s="9"/>
      <c r="CC32" s="13">
        <f t="shared" si="23"/>
        <v>0</v>
      </c>
      <c r="CD32" s="42"/>
      <c r="CE32" s="9"/>
      <c r="CF32" s="13">
        <f t="shared" si="24"/>
        <v>0</v>
      </c>
      <c r="CG32" s="42"/>
      <c r="CH32" s="9"/>
      <c r="CI32" s="13">
        <f t="shared" si="25"/>
        <v>0</v>
      </c>
      <c r="CJ32" s="42"/>
      <c r="CK32" s="9"/>
      <c r="CL32" s="13">
        <f t="shared" si="26"/>
        <v>0</v>
      </c>
      <c r="CM32" s="42"/>
      <c r="CN32" s="9"/>
      <c r="CO32" s="13">
        <f t="shared" si="27"/>
        <v>0</v>
      </c>
      <c r="CP32" s="42"/>
      <c r="CQ32" s="9"/>
      <c r="CR32" s="13">
        <f t="shared" si="28"/>
        <v>0</v>
      </c>
      <c r="CS32" s="42"/>
      <c r="CT32" s="9"/>
      <c r="CU32" s="13">
        <f t="shared" si="29"/>
        <v>0</v>
      </c>
      <c r="CV32" s="42"/>
      <c r="CW32" s="9"/>
      <c r="CX32" s="13">
        <f t="shared" si="30"/>
        <v>0</v>
      </c>
      <c r="CY32" s="42"/>
      <c r="CZ32" s="9"/>
      <c r="DA32" s="13">
        <f t="shared" si="31"/>
        <v>0</v>
      </c>
      <c r="DB32" s="42"/>
    </row>
    <row r="33" spans="1:106" hidden="1" x14ac:dyDescent="0.35">
      <c r="A33" s="54">
        <v>10310300</v>
      </c>
      <c r="B33" s="54" t="s">
        <v>80</v>
      </c>
      <c r="C33" s="7">
        <v>18</v>
      </c>
      <c r="D33" s="46">
        <v>16</v>
      </c>
      <c r="E33" s="48"/>
      <c r="F33" s="52"/>
      <c r="G33" s="48" t="s">
        <v>0</v>
      </c>
      <c r="H33" s="26"/>
      <c r="I33" s="20"/>
      <c r="J33" s="20"/>
      <c r="K33" s="41"/>
      <c r="L33" s="41"/>
      <c r="M33" s="20"/>
      <c r="N33" s="20"/>
      <c r="O33" s="26">
        <f t="shared" si="32"/>
        <v>0</v>
      </c>
      <c r="P33" s="26">
        <f t="shared" si="2"/>
        <v>0</v>
      </c>
      <c r="Q33" s="3"/>
      <c r="R33" s="27">
        <f t="shared" si="34"/>
        <v>0</v>
      </c>
      <c r="S33" s="42"/>
      <c r="T33" s="3"/>
      <c r="U33" s="13">
        <f t="shared" si="4"/>
        <v>0</v>
      </c>
      <c r="V33" s="42"/>
      <c r="W33" s="3"/>
      <c r="X33" s="13">
        <f t="shared" si="5"/>
        <v>0</v>
      </c>
      <c r="Y33" s="42"/>
      <c r="Z33" s="3"/>
      <c r="AA33" s="13">
        <f t="shared" si="6"/>
        <v>0</v>
      </c>
      <c r="AB33" s="42"/>
      <c r="AC33" s="3"/>
      <c r="AD33" s="13">
        <f t="shared" si="7"/>
        <v>0</v>
      </c>
      <c r="AE33" s="42"/>
      <c r="AF33" s="3"/>
      <c r="AG33" s="13">
        <f t="shared" si="8"/>
        <v>0</v>
      </c>
      <c r="AH33" s="42"/>
      <c r="AI33" s="6"/>
      <c r="AJ33" s="13">
        <f t="shared" si="9"/>
        <v>0</v>
      </c>
      <c r="AK33" s="42"/>
      <c r="AL33" s="7"/>
      <c r="AM33" s="13">
        <f t="shared" si="33"/>
        <v>0</v>
      </c>
      <c r="AN33" s="42"/>
      <c r="AO33" s="9"/>
      <c r="AP33" s="13">
        <f t="shared" si="10"/>
        <v>0</v>
      </c>
      <c r="AQ33" s="42"/>
      <c r="AR33" s="9"/>
      <c r="AS33" s="13">
        <f t="shared" si="11"/>
        <v>0</v>
      </c>
      <c r="AT33" s="42"/>
      <c r="AU33" s="9"/>
      <c r="AV33" s="13">
        <f t="shared" si="12"/>
        <v>0</v>
      </c>
      <c r="AW33" s="42"/>
      <c r="AX33" s="9"/>
      <c r="AY33" s="13">
        <f t="shared" si="13"/>
        <v>0</v>
      </c>
      <c r="AZ33" s="42"/>
      <c r="BA33" s="9"/>
      <c r="BB33" s="13">
        <f t="shared" si="14"/>
        <v>0</v>
      </c>
      <c r="BC33" s="42"/>
      <c r="BD33" s="9"/>
      <c r="BE33" s="13">
        <f t="shared" si="15"/>
        <v>0</v>
      </c>
      <c r="BF33" s="42"/>
      <c r="BG33" s="9"/>
      <c r="BH33" s="13">
        <f t="shared" si="16"/>
        <v>0</v>
      </c>
      <c r="BI33" s="42"/>
      <c r="BJ33" s="9"/>
      <c r="BK33" s="13">
        <f t="shared" si="17"/>
        <v>0</v>
      </c>
      <c r="BL33" s="42"/>
      <c r="BM33" s="9"/>
      <c r="BN33" s="13">
        <f t="shared" si="18"/>
        <v>0</v>
      </c>
      <c r="BO33" s="42"/>
      <c r="BP33" s="9"/>
      <c r="BQ33" s="13">
        <f t="shared" si="19"/>
        <v>0</v>
      </c>
      <c r="BR33" s="42"/>
      <c r="BS33" s="9"/>
      <c r="BT33" s="13">
        <f t="shared" si="20"/>
        <v>0</v>
      </c>
      <c r="BU33" s="42"/>
      <c r="BV33" s="9"/>
      <c r="BW33" s="13">
        <f t="shared" si="21"/>
        <v>0</v>
      </c>
      <c r="BX33" s="42"/>
      <c r="BY33" s="9"/>
      <c r="BZ33" s="13">
        <f t="shared" si="22"/>
        <v>0</v>
      </c>
      <c r="CA33" s="42"/>
      <c r="CB33" s="9"/>
      <c r="CC33" s="13">
        <f t="shared" si="23"/>
        <v>0</v>
      </c>
      <c r="CD33" s="42"/>
      <c r="CE33" s="9"/>
      <c r="CF33" s="13">
        <f t="shared" si="24"/>
        <v>0</v>
      </c>
      <c r="CG33" s="42"/>
      <c r="CH33" s="9"/>
      <c r="CI33" s="13">
        <f t="shared" si="25"/>
        <v>0</v>
      </c>
      <c r="CJ33" s="42"/>
      <c r="CK33" s="9"/>
      <c r="CL33" s="13">
        <f t="shared" si="26"/>
        <v>0</v>
      </c>
      <c r="CM33" s="42"/>
      <c r="CN33" s="9"/>
      <c r="CO33" s="13">
        <f t="shared" si="27"/>
        <v>0</v>
      </c>
      <c r="CP33" s="42"/>
      <c r="CQ33" s="9"/>
      <c r="CR33" s="13">
        <f t="shared" si="28"/>
        <v>0</v>
      </c>
      <c r="CS33" s="42"/>
      <c r="CT33" s="9"/>
      <c r="CU33" s="13">
        <f t="shared" si="29"/>
        <v>0</v>
      </c>
      <c r="CV33" s="42"/>
      <c r="CW33" s="9"/>
      <c r="CX33" s="13">
        <f t="shared" si="30"/>
        <v>0</v>
      </c>
      <c r="CY33" s="42"/>
      <c r="CZ33" s="9"/>
      <c r="DA33" s="13">
        <f t="shared" si="31"/>
        <v>0</v>
      </c>
      <c r="DB33" s="42"/>
    </row>
    <row r="34" spans="1:106" x14ac:dyDescent="0.35">
      <c r="A34" s="54">
        <v>10310217</v>
      </c>
      <c r="B34" s="54" t="s">
        <v>58</v>
      </c>
      <c r="C34" s="47">
        <v>40</v>
      </c>
      <c r="D34" s="46">
        <v>9</v>
      </c>
      <c r="E34" s="48">
        <v>6300</v>
      </c>
      <c r="F34" s="52">
        <v>1280</v>
      </c>
      <c r="G34" s="48" t="s">
        <v>0</v>
      </c>
      <c r="H34" s="26"/>
      <c r="I34" s="20"/>
      <c r="J34" s="20"/>
      <c r="K34" s="41"/>
      <c r="L34" s="41"/>
      <c r="M34" s="20">
        <f t="shared" si="0"/>
        <v>0</v>
      </c>
      <c r="N34" s="20">
        <f t="shared" si="1"/>
        <v>0</v>
      </c>
      <c r="O34" s="26">
        <f t="shared" si="32"/>
        <v>1500</v>
      </c>
      <c r="P34" s="26">
        <f t="shared" si="2"/>
        <v>0</v>
      </c>
      <c r="Q34" s="3"/>
      <c r="R34" s="27">
        <f t="shared" si="34"/>
        <v>0</v>
      </c>
      <c r="S34" s="42"/>
      <c r="T34" s="7"/>
      <c r="U34" s="13">
        <f t="shared" si="4"/>
        <v>0</v>
      </c>
      <c r="V34" s="42"/>
      <c r="W34" s="7"/>
      <c r="X34" s="13">
        <f t="shared" si="5"/>
        <v>0</v>
      </c>
      <c r="Y34" s="42"/>
      <c r="Z34" s="7"/>
      <c r="AA34" s="13">
        <f t="shared" si="6"/>
        <v>0</v>
      </c>
      <c r="AB34" s="42"/>
      <c r="AC34" s="3"/>
      <c r="AD34" s="13">
        <f t="shared" si="7"/>
        <v>0</v>
      </c>
      <c r="AE34" s="42"/>
      <c r="AF34" s="3"/>
      <c r="AG34" s="13">
        <f t="shared" si="8"/>
        <v>0</v>
      </c>
      <c r="AH34" s="42"/>
      <c r="AI34" s="6">
        <v>1500</v>
      </c>
      <c r="AJ34" s="13">
        <f t="shared" si="9"/>
        <v>13.5</v>
      </c>
      <c r="AK34" s="42"/>
      <c r="AL34" s="7"/>
      <c r="AM34" s="13">
        <f t="shared" si="33"/>
        <v>0</v>
      </c>
      <c r="AN34" s="42"/>
      <c r="AO34" s="9"/>
      <c r="AP34" s="13">
        <f t="shared" si="10"/>
        <v>0</v>
      </c>
      <c r="AQ34" s="42"/>
      <c r="AR34" s="9"/>
      <c r="AS34" s="13">
        <f t="shared" si="11"/>
        <v>0</v>
      </c>
      <c r="AT34" s="42"/>
      <c r="AU34" s="9"/>
      <c r="AV34" s="13">
        <f t="shared" si="12"/>
        <v>0</v>
      </c>
      <c r="AW34" s="42"/>
      <c r="AX34" s="9"/>
      <c r="AY34" s="13">
        <f t="shared" si="13"/>
        <v>0</v>
      </c>
      <c r="AZ34" s="42"/>
      <c r="BA34" s="9"/>
      <c r="BB34" s="13">
        <f t="shared" si="14"/>
        <v>0</v>
      </c>
      <c r="BC34" s="42"/>
      <c r="BD34" s="9"/>
      <c r="BE34" s="13">
        <f t="shared" si="15"/>
        <v>0</v>
      </c>
      <c r="BF34" s="42"/>
      <c r="BG34" s="9"/>
      <c r="BH34" s="13">
        <f t="shared" si="16"/>
        <v>0</v>
      </c>
      <c r="BI34" s="42"/>
      <c r="BJ34" s="9"/>
      <c r="BK34" s="13">
        <f t="shared" si="17"/>
        <v>0</v>
      </c>
      <c r="BL34" s="42"/>
      <c r="BM34" s="9"/>
      <c r="BN34" s="13">
        <f t="shared" si="18"/>
        <v>0</v>
      </c>
      <c r="BO34" s="42"/>
      <c r="BP34" s="9"/>
      <c r="BQ34" s="13">
        <f t="shared" si="19"/>
        <v>0</v>
      </c>
      <c r="BR34" s="42"/>
      <c r="BS34" s="9"/>
      <c r="BT34" s="13">
        <f t="shared" si="20"/>
        <v>0</v>
      </c>
      <c r="BU34" s="42"/>
      <c r="BV34" s="9"/>
      <c r="BW34" s="13">
        <f t="shared" si="21"/>
        <v>0</v>
      </c>
      <c r="BX34" s="42"/>
      <c r="BY34" s="9"/>
      <c r="BZ34" s="13">
        <f t="shared" si="22"/>
        <v>0</v>
      </c>
      <c r="CA34" s="42"/>
      <c r="CB34" s="9"/>
      <c r="CC34" s="13">
        <f t="shared" si="23"/>
        <v>0</v>
      </c>
      <c r="CD34" s="42"/>
      <c r="CE34" s="9"/>
      <c r="CF34" s="13">
        <f t="shared" si="24"/>
        <v>0</v>
      </c>
      <c r="CG34" s="42"/>
      <c r="CH34" s="9"/>
      <c r="CI34" s="13">
        <f t="shared" si="25"/>
        <v>0</v>
      </c>
      <c r="CJ34" s="42"/>
      <c r="CK34" s="9"/>
      <c r="CL34" s="13">
        <f t="shared" si="26"/>
        <v>0</v>
      </c>
      <c r="CM34" s="42"/>
      <c r="CN34" s="9"/>
      <c r="CO34" s="13">
        <f t="shared" si="27"/>
        <v>0</v>
      </c>
      <c r="CP34" s="42"/>
      <c r="CQ34" s="9"/>
      <c r="CR34" s="13">
        <f t="shared" si="28"/>
        <v>0</v>
      </c>
      <c r="CS34" s="42"/>
      <c r="CT34" s="9"/>
      <c r="CU34" s="13">
        <f t="shared" si="29"/>
        <v>0</v>
      </c>
      <c r="CV34" s="42"/>
      <c r="CW34" s="9"/>
      <c r="CX34" s="13">
        <f t="shared" si="30"/>
        <v>0</v>
      </c>
      <c r="CY34" s="42"/>
      <c r="CZ34" s="9"/>
      <c r="DA34" s="13">
        <f t="shared" si="31"/>
        <v>0</v>
      </c>
      <c r="DB34" s="42"/>
    </row>
    <row r="35" spans="1:106" hidden="1" x14ac:dyDescent="0.35">
      <c r="A35" s="54">
        <v>10310218</v>
      </c>
      <c r="B35" s="54" t="s">
        <v>59</v>
      </c>
      <c r="C35" s="47">
        <v>40</v>
      </c>
      <c r="D35" s="46">
        <v>9</v>
      </c>
      <c r="E35" s="48">
        <v>6300</v>
      </c>
      <c r="F35" s="52"/>
      <c r="G35" s="48" t="s">
        <v>0</v>
      </c>
      <c r="H35" s="26"/>
      <c r="I35" s="20"/>
      <c r="J35" s="20"/>
      <c r="K35" s="41"/>
      <c r="L35" s="41"/>
      <c r="M35" s="20">
        <f t="shared" si="0"/>
        <v>0</v>
      </c>
      <c r="N35" s="20">
        <f t="shared" si="1"/>
        <v>0</v>
      </c>
      <c r="O35" s="26">
        <f t="shared" si="32"/>
        <v>0</v>
      </c>
      <c r="P35" s="26">
        <f t="shared" si="2"/>
        <v>0</v>
      </c>
      <c r="Q35" s="3"/>
      <c r="R35" s="27">
        <f t="shared" si="34"/>
        <v>0</v>
      </c>
      <c r="S35" s="42"/>
      <c r="T35" s="3"/>
      <c r="U35" s="13">
        <f t="shared" si="4"/>
        <v>0</v>
      </c>
      <c r="V35" s="42"/>
      <c r="W35" s="3"/>
      <c r="X35" s="13">
        <f t="shared" si="5"/>
        <v>0</v>
      </c>
      <c r="Y35" s="42"/>
      <c r="Z35" s="3"/>
      <c r="AA35" s="13">
        <f t="shared" si="6"/>
        <v>0</v>
      </c>
      <c r="AB35" s="42"/>
      <c r="AC35" s="3"/>
      <c r="AD35" s="13">
        <f t="shared" si="7"/>
        <v>0</v>
      </c>
      <c r="AE35" s="42"/>
      <c r="AF35" s="3"/>
      <c r="AG35" s="13">
        <f t="shared" si="8"/>
        <v>0</v>
      </c>
      <c r="AH35" s="42"/>
      <c r="AI35" s="6"/>
      <c r="AJ35" s="13">
        <f t="shared" si="9"/>
        <v>0</v>
      </c>
      <c r="AK35" s="42"/>
      <c r="AL35" s="7"/>
      <c r="AM35" s="13">
        <f t="shared" si="33"/>
        <v>0</v>
      </c>
      <c r="AN35" s="42"/>
      <c r="AO35" s="9"/>
      <c r="AP35" s="13">
        <f t="shared" si="10"/>
        <v>0</v>
      </c>
      <c r="AQ35" s="42"/>
      <c r="AR35" s="9"/>
      <c r="AS35" s="13">
        <f t="shared" si="11"/>
        <v>0</v>
      </c>
      <c r="AT35" s="42"/>
      <c r="AU35" s="9"/>
      <c r="AV35" s="13">
        <f t="shared" si="12"/>
        <v>0</v>
      </c>
      <c r="AW35" s="42"/>
      <c r="AX35" s="9"/>
      <c r="AY35" s="13">
        <f t="shared" si="13"/>
        <v>0</v>
      </c>
      <c r="AZ35" s="42"/>
      <c r="BA35" s="9"/>
      <c r="BB35" s="13">
        <f t="shared" si="14"/>
        <v>0</v>
      </c>
      <c r="BC35" s="42"/>
      <c r="BD35" s="9"/>
      <c r="BE35" s="13">
        <f t="shared" si="15"/>
        <v>0</v>
      </c>
      <c r="BF35" s="42"/>
      <c r="BG35" s="9"/>
      <c r="BH35" s="13">
        <f t="shared" si="16"/>
        <v>0</v>
      </c>
      <c r="BI35" s="42"/>
      <c r="BJ35" s="9"/>
      <c r="BK35" s="13">
        <f t="shared" si="17"/>
        <v>0</v>
      </c>
      <c r="BL35" s="42"/>
      <c r="BM35" s="9"/>
      <c r="BN35" s="13">
        <f t="shared" si="18"/>
        <v>0</v>
      </c>
      <c r="BO35" s="42"/>
      <c r="BP35" s="9"/>
      <c r="BQ35" s="13">
        <f t="shared" si="19"/>
        <v>0</v>
      </c>
      <c r="BR35" s="42"/>
      <c r="BS35" s="9"/>
      <c r="BT35" s="13">
        <f t="shared" si="20"/>
        <v>0</v>
      </c>
      <c r="BU35" s="42"/>
      <c r="BV35" s="9"/>
      <c r="BW35" s="13">
        <f t="shared" si="21"/>
        <v>0</v>
      </c>
      <c r="BX35" s="42"/>
      <c r="BY35" s="9"/>
      <c r="BZ35" s="13">
        <f t="shared" si="22"/>
        <v>0</v>
      </c>
      <c r="CA35" s="42"/>
      <c r="CB35" s="9"/>
      <c r="CC35" s="13">
        <f t="shared" si="23"/>
        <v>0</v>
      </c>
      <c r="CD35" s="42"/>
      <c r="CE35" s="9"/>
      <c r="CF35" s="13">
        <f t="shared" si="24"/>
        <v>0</v>
      </c>
      <c r="CG35" s="42"/>
      <c r="CH35" s="9"/>
      <c r="CI35" s="13">
        <f t="shared" si="25"/>
        <v>0</v>
      </c>
      <c r="CJ35" s="42"/>
      <c r="CK35" s="9"/>
      <c r="CL35" s="13">
        <f t="shared" si="26"/>
        <v>0</v>
      </c>
      <c r="CM35" s="42"/>
      <c r="CN35" s="9"/>
      <c r="CO35" s="13">
        <f t="shared" si="27"/>
        <v>0</v>
      </c>
      <c r="CP35" s="42"/>
      <c r="CQ35" s="9"/>
      <c r="CR35" s="13">
        <f t="shared" si="28"/>
        <v>0</v>
      </c>
      <c r="CS35" s="42"/>
      <c r="CT35" s="9"/>
      <c r="CU35" s="13">
        <f t="shared" si="29"/>
        <v>0</v>
      </c>
      <c r="CV35" s="42"/>
      <c r="CW35" s="9"/>
      <c r="CX35" s="13">
        <f t="shared" si="30"/>
        <v>0</v>
      </c>
      <c r="CY35" s="42"/>
      <c r="CZ35" s="9"/>
      <c r="DA35" s="13">
        <f t="shared" si="31"/>
        <v>0</v>
      </c>
      <c r="DB35" s="42"/>
    </row>
    <row r="36" spans="1:106" hidden="1" x14ac:dyDescent="0.35">
      <c r="A36" s="54">
        <v>10310219</v>
      </c>
      <c r="B36" s="54" t="s">
        <v>60</v>
      </c>
      <c r="C36" s="47">
        <v>40</v>
      </c>
      <c r="D36" s="46">
        <v>9</v>
      </c>
      <c r="E36" s="48">
        <v>6300</v>
      </c>
      <c r="F36" s="52"/>
      <c r="G36" s="48" t="s">
        <v>0</v>
      </c>
      <c r="H36" s="26"/>
      <c r="I36" s="20"/>
      <c r="J36" s="20"/>
      <c r="K36" s="41"/>
      <c r="L36" s="41"/>
      <c r="M36" s="20">
        <f t="shared" si="0"/>
        <v>0</v>
      </c>
      <c r="N36" s="20">
        <f t="shared" si="1"/>
        <v>0</v>
      </c>
      <c r="O36" s="26">
        <f t="shared" si="32"/>
        <v>0</v>
      </c>
      <c r="P36" s="26">
        <f t="shared" si="2"/>
        <v>0</v>
      </c>
      <c r="Q36" s="3"/>
      <c r="R36" s="27">
        <f t="shared" si="34"/>
        <v>0</v>
      </c>
      <c r="S36" s="42"/>
      <c r="T36" s="3"/>
      <c r="U36" s="13">
        <f t="shared" si="4"/>
        <v>0</v>
      </c>
      <c r="V36" s="42"/>
      <c r="W36" s="3"/>
      <c r="X36" s="13">
        <f t="shared" si="5"/>
        <v>0</v>
      </c>
      <c r="Y36" s="42"/>
      <c r="Z36" s="3"/>
      <c r="AA36" s="13">
        <f t="shared" si="6"/>
        <v>0</v>
      </c>
      <c r="AB36" s="42"/>
      <c r="AC36" s="3"/>
      <c r="AD36" s="13">
        <f t="shared" si="7"/>
        <v>0</v>
      </c>
      <c r="AE36" s="42"/>
      <c r="AF36" s="3"/>
      <c r="AG36" s="13">
        <f t="shared" si="8"/>
        <v>0</v>
      </c>
      <c r="AH36" s="42"/>
      <c r="AI36" s="6"/>
      <c r="AJ36" s="13">
        <f t="shared" si="9"/>
        <v>0</v>
      </c>
      <c r="AK36" s="42"/>
      <c r="AL36" s="7"/>
      <c r="AM36" s="13">
        <f t="shared" si="33"/>
        <v>0</v>
      </c>
      <c r="AN36" s="42"/>
      <c r="AO36" s="9"/>
      <c r="AP36" s="13">
        <f t="shared" si="10"/>
        <v>0</v>
      </c>
      <c r="AQ36" s="42"/>
      <c r="AR36" s="9"/>
      <c r="AS36" s="13">
        <f t="shared" si="11"/>
        <v>0</v>
      </c>
      <c r="AT36" s="42"/>
      <c r="AU36" s="9"/>
      <c r="AV36" s="13">
        <f t="shared" si="12"/>
        <v>0</v>
      </c>
      <c r="AW36" s="42"/>
      <c r="AX36" s="9"/>
      <c r="AY36" s="13">
        <f t="shared" si="13"/>
        <v>0</v>
      </c>
      <c r="AZ36" s="42"/>
      <c r="BA36" s="9"/>
      <c r="BB36" s="13">
        <f t="shared" si="14"/>
        <v>0</v>
      </c>
      <c r="BC36" s="42"/>
      <c r="BD36" s="9"/>
      <c r="BE36" s="13">
        <f t="shared" si="15"/>
        <v>0</v>
      </c>
      <c r="BF36" s="42"/>
      <c r="BG36" s="9"/>
      <c r="BH36" s="13">
        <f t="shared" si="16"/>
        <v>0</v>
      </c>
      <c r="BI36" s="42"/>
      <c r="BJ36" s="9"/>
      <c r="BK36" s="13">
        <f t="shared" si="17"/>
        <v>0</v>
      </c>
      <c r="BL36" s="42"/>
      <c r="BM36" s="9"/>
      <c r="BN36" s="13">
        <f t="shared" si="18"/>
        <v>0</v>
      </c>
      <c r="BO36" s="42"/>
      <c r="BP36" s="9"/>
      <c r="BQ36" s="13">
        <f t="shared" si="19"/>
        <v>0</v>
      </c>
      <c r="BR36" s="42"/>
      <c r="BS36" s="9"/>
      <c r="BT36" s="13">
        <f t="shared" si="20"/>
        <v>0</v>
      </c>
      <c r="BU36" s="42"/>
      <c r="BV36" s="9"/>
      <c r="BW36" s="13">
        <f t="shared" si="21"/>
        <v>0</v>
      </c>
      <c r="BX36" s="42"/>
      <c r="BY36" s="9"/>
      <c r="BZ36" s="13">
        <f t="shared" si="22"/>
        <v>0</v>
      </c>
      <c r="CA36" s="42"/>
      <c r="CB36" s="9"/>
      <c r="CC36" s="13">
        <f t="shared" si="23"/>
        <v>0</v>
      </c>
      <c r="CD36" s="42"/>
      <c r="CE36" s="9"/>
      <c r="CF36" s="13">
        <f t="shared" si="24"/>
        <v>0</v>
      </c>
      <c r="CG36" s="42"/>
      <c r="CH36" s="9"/>
      <c r="CI36" s="13">
        <f t="shared" si="25"/>
        <v>0</v>
      </c>
      <c r="CJ36" s="42"/>
      <c r="CK36" s="9"/>
      <c r="CL36" s="13">
        <f t="shared" si="26"/>
        <v>0</v>
      </c>
      <c r="CM36" s="42"/>
      <c r="CN36" s="9"/>
      <c r="CO36" s="13">
        <f t="shared" si="27"/>
        <v>0</v>
      </c>
      <c r="CP36" s="42"/>
      <c r="CQ36" s="9"/>
      <c r="CR36" s="13">
        <f t="shared" si="28"/>
        <v>0</v>
      </c>
      <c r="CS36" s="42"/>
      <c r="CT36" s="9"/>
      <c r="CU36" s="13">
        <f t="shared" si="29"/>
        <v>0</v>
      </c>
      <c r="CV36" s="42"/>
      <c r="CW36" s="9"/>
      <c r="CX36" s="13">
        <f t="shared" si="30"/>
        <v>0</v>
      </c>
      <c r="CY36" s="42"/>
      <c r="CZ36" s="9"/>
      <c r="DA36" s="13">
        <f t="shared" si="31"/>
        <v>0</v>
      </c>
      <c r="DB36" s="42"/>
    </row>
    <row r="37" spans="1:106" x14ac:dyDescent="0.35">
      <c r="A37" s="54">
        <v>10310220</v>
      </c>
      <c r="B37" s="54" t="s">
        <v>61</v>
      </c>
      <c r="C37" s="47">
        <v>40</v>
      </c>
      <c r="D37" s="46">
        <v>9</v>
      </c>
      <c r="E37" s="48">
        <v>6300</v>
      </c>
      <c r="F37" s="52"/>
      <c r="G37" s="48" t="s">
        <v>0</v>
      </c>
      <c r="H37" s="26"/>
      <c r="I37" s="20"/>
      <c r="J37" s="20"/>
      <c r="K37" s="41"/>
      <c r="L37" s="41"/>
      <c r="M37" s="20">
        <f t="shared" si="0"/>
        <v>0</v>
      </c>
      <c r="N37" s="20">
        <f t="shared" si="1"/>
        <v>0</v>
      </c>
      <c r="O37" s="26">
        <f t="shared" si="32"/>
        <v>2000</v>
      </c>
      <c r="P37" s="26">
        <f t="shared" si="2"/>
        <v>0</v>
      </c>
      <c r="Q37" s="3"/>
      <c r="R37" s="27">
        <f t="shared" si="34"/>
        <v>0</v>
      </c>
      <c r="S37" s="42"/>
      <c r="T37" s="3"/>
      <c r="U37" s="13">
        <f t="shared" si="4"/>
        <v>0</v>
      </c>
      <c r="V37" s="42"/>
      <c r="W37" s="3"/>
      <c r="X37" s="13">
        <f t="shared" si="5"/>
        <v>0</v>
      </c>
      <c r="Y37" s="42"/>
      <c r="Z37" s="3"/>
      <c r="AA37" s="13">
        <f t="shared" si="6"/>
        <v>0</v>
      </c>
      <c r="AB37" s="42"/>
      <c r="AC37" s="3"/>
      <c r="AD37" s="13">
        <f t="shared" si="7"/>
        <v>0</v>
      </c>
      <c r="AE37" s="42"/>
      <c r="AF37" s="3">
        <v>2000</v>
      </c>
      <c r="AG37" s="13">
        <f t="shared" si="8"/>
        <v>18</v>
      </c>
      <c r="AH37" s="42"/>
      <c r="AI37" s="6"/>
      <c r="AJ37" s="13">
        <f t="shared" si="9"/>
        <v>0</v>
      </c>
      <c r="AK37" s="42"/>
      <c r="AL37" s="7"/>
      <c r="AM37" s="13">
        <f t="shared" si="33"/>
        <v>0</v>
      </c>
      <c r="AN37" s="42"/>
      <c r="AO37" s="9"/>
      <c r="AP37" s="13">
        <f t="shared" si="10"/>
        <v>0</v>
      </c>
      <c r="AQ37" s="42"/>
      <c r="AR37" s="9"/>
      <c r="AS37" s="13">
        <f t="shared" si="11"/>
        <v>0</v>
      </c>
      <c r="AT37" s="42"/>
      <c r="AU37" s="9"/>
      <c r="AV37" s="13">
        <f t="shared" si="12"/>
        <v>0</v>
      </c>
      <c r="AW37" s="42"/>
      <c r="AX37" s="9"/>
      <c r="AY37" s="13">
        <f t="shared" si="13"/>
        <v>0</v>
      </c>
      <c r="AZ37" s="42"/>
      <c r="BA37" s="9"/>
      <c r="BB37" s="13">
        <f t="shared" si="14"/>
        <v>0</v>
      </c>
      <c r="BC37" s="42"/>
      <c r="BD37" s="9"/>
      <c r="BE37" s="13">
        <f t="shared" si="15"/>
        <v>0</v>
      </c>
      <c r="BF37" s="42"/>
      <c r="BG37" s="9"/>
      <c r="BH37" s="13">
        <f t="shared" si="16"/>
        <v>0</v>
      </c>
      <c r="BI37" s="42"/>
      <c r="BJ37" s="9"/>
      <c r="BK37" s="13">
        <f t="shared" si="17"/>
        <v>0</v>
      </c>
      <c r="BL37" s="42"/>
      <c r="BM37" s="9"/>
      <c r="BN37" s="13">
        <f t="shared" si="18"/>
        <v>0</v>
      </c>
      <c r="BO37" s="42"/>
      <c r="BP37" s="9"/>
      <c r="BQ37" s="13">
        <f t="shared" si="19"/>
        <v>0</v>
      </c>
      <c r="BR37" s="42"/>
      <c r="BS37" s="9"/>
      <c r="BT37" s="13">
        <f t="shared" si="20"/>
        <v>0</v>
      </c>
      <c r="BU37" s="42"/>
      <c r="BV37" s="9"/>
      <c r="BW37" s="13">
        <f t="shared" si="21"/>
        <v>0</v>
      </c>
      <c r="BX37" s="42"/>
      <c r="BY37" s="9"/>
      <c r="BZ37" s="13">
        <f t="shared" si="22"/>
        <v>0</v>
      </c>
      <c r="CA37" s="42"/>
      <c r="CB37" s="9"/>
      <c r="CC37" s="13">
        <f t="shared" si="23"/>
        <v>0</v>
      </c>
      <c r="CD37" s="42"/>
      <c r="CE37" s="9"/>
      <c r="CF37" s="13">
        <f t="shared" si="24"/>
        <v>0</v>
      </c>
      <c r="CG37" s="42"/>
      <c r="CH37" s="9"/>
      <c r="CI37" s="13">
        <f t="shared" si="25"/>
        <v>0</v>
      </c>
      <c r="CJ37" s="42"/>
      <c r="CK37" s="9"/>
      <c r="CL37" s="13">
        <f t="shared" si="26"/>
        <v>0</v>
      </c>
      <c r="CM37" s="42"/>
      <c r="CN37" s="9"/>
      <c r="CO37" s="13">
        <f t="shared" si="27"/>
        <v>0</v>
      </c>
      <c r="CP37" s="42"/>
      <c r="CQ37" s="9"/>
      <c r="CR37" s="13">
        <f t="shared" si="28"/>
        <v>0</v>
      </c>
      <c r="CS37" s="42"/>
      <c r="CT37" s="9"/>
      <c r="CU37" s="13">
        <f t="shared" si="29"/>
        <v>0</v>
      </c>
      <c r="CV37" s="42"/>
      <c r="CW37" s="9"/>
      <c r="CX37" s="13">
        <f t="shared" si="30"/>
        <v>0</v>
      </c>
      <c r="CY37" s="42"/>
      <c r="CZ37" s="9"/>
      <c r="DA37" s="13">
        <f t="shared" si="31"/>
        <v>0</v>
      </c>
      <c r="DB37" s="42"/>
    </row>
    <row r="38" spans="1:106" x14ac:dyDescent="0.35">
      <c r="A38" s="54">
        <v>10310235</v>
      </c>
      <c r="B38" s="54" t="s">
        <v>62</v>
      </c>
      <c r="C38" s="47">
        <v>40</v>
      </c>
      <c r="D38" s="46">
        <v>9</v>
      </c>
      <c r="E38" s="48">
        <v>6300</v>
      </c>
      <c r="F38" s="52">
        <v>1560</v>
      </c>
      <c r="G38" s="48" t="s">
        <v>0</v>
      </c>
      <c r="H38" s="26"/>
      <c r="I38" s="20"/>
      <c r="J38" s="20"/>
      <c r="K38" s="41"/>
      <c r="L38" s="41"/>
      <c r="M38" s="20">
        <f t="shared" si="0"/>
        <v>0</v>
      </c>
      <c r="N38" s="20">
        <f t="shared" si="1"/>
        <v>0</v>
      </c>
      <c r="O38" s="26">
        <f t="shared" si="32"/>
        <v>2000</v>
      </c>
      <c r="P38" s="26">
        <f t="shared" si="2"/>
        <v>0</v>
      </c>
      <c r="Q38" s="3"/>
      <c r="R38" s="27">
        <f t="shared" si="34"/>
        <v>0</v>
      </c>
      <c r="S38" s="42"/>
      <c r="T38" s="3"/>
      <c r="U38" s="13">
        <f t="shared" si="4"/>
        <v>0</v>
      </c>
      <c r="V38" s="42"/>
      <c r="W38" s="3"/>
      <c r="X38" s="13">
        <f t="shared" si="5"/>
        <v>0</v>
      </c>
      <c r="Y38" s="42"/>
      <c r="Z38" s="3"/>
      <c r="AA38" s="13">
        <f t="shared" si="6"/>
        <v>0</v>
      </c>
      <c r="AB38" s="42"/>
      <c r="AC38" s="3"/>
      <c r="AD38" s="13">
        <f t="shared" si="7"/>
        <v>0</v>
      </c>
      <c r="AE38" s="42"/>
      <c r="AF38" s="3">
        <v>2000</v>
      </c>
      <c r="AG38" s="13">
        <f t="shared" si="8"/>
        <v>18</v>
      </c>
      <c r="AH38" s="42"/>
      <c r="AI38" s="6"/>
      <c r="AJ38" s="13">
        <f t="shared" si="9"/>
        <v>0</v>
      </c>
      <c r="AK38" s="42"/>
      <c r="AL38" s="7"/>
      <c r="AM38" s="13">
        <f t="shared" si="33"/>
        <v>0</v>
      </c>
      <c r="AN38" s="42"/>
      <c r="AO38" s="9"/>
      <c r="AP38" s="13">
        <f t="shared" si="10"/>
        <v>0</v>
      </c>
      <c r="AQ38" s="42"/>
      <c r="AR38" s="9"/>
      <c r="AS38" s="13">
        <f t="shared" si="11"/>
        <v>0</v>
      </c>
      <c r="AT38" s="42"/>
      <c r="AU38" s="9"/>
      <c r="AV38" s="13">
        <f t="shared" si="12"/>
        <v>0</v>
      </c>
      <c r="AW38" s="42"/>
      <c r="AX38" s="9"/>
      <c r="AY38" s="13">
        <f t="shared" si="13"/>
        <v>0</v>
      </c>
      <c r="AZ38" s="42"/>
      <c r="BA38" s="9"/>
      <c r="BB38" s="13">
        <f t="shared" si="14"/>
        <v>0</v>
      </c>
      <c r="BC38" s="42"/>
      <c r="BD38" s="9"/>
      <c r="BE38" s="13">
        <f t="shared" si="15"/>
        <v>0</v>
      </c>
      <c r="BF38" s="42"/>
      <c r="BG38" s="9"/>
      <c r="BH38" s="13">
        <f t="shared" si="16"/>
        <v>0</v>
      </c>
      <c r="BI38" s="42"/>
      <c r="BJ38" s="9"/>
      <c r="BK38" s="13">
        <f t="shared" si="17"/>
        <v>0</v>
      </c>
      <c r="BL38" s="42"/>
      <c r="BM38" s="9"/>
      <c r="BN38" s="13">
        <f t="shared" si="18"/>
        <v>0</v>
      </c>
      <c r="BO38" s="42"/>
      <c r="BP38" s="9"/>
      <c r="BQ38" s="13">
        <f t="shared" si="19"/>
        <v>0</v>
      </c>
      <c r="BR38" s="42"/>
      <c r="BS38" s="9"/>
      <c r="BT38" s="13">
        <f t="shared" si="20"/>
        <v>0</v>
      </c>
      <c r="BU38" s="42"/>
      <c r="BV38" s="9"/>
      <c r="BW38" s="13">
        <f t="shared" si="21"/>
        <v>0</v>
      </c>
      <c r="BX38" s="42"/>
      <c r="BY38" s="9"/>
      <c r="BZ38" s="13">
        <f t="shared" si="22"/>
        <v>0</v>
      </c>
      <c r="CA38" s="42"/>
      <c r="CB38" s="9"/>
      <c r="CC38" s="13">
        <f t="shared" si="23"/>
        <v>0</v>
      </c>
      <c r="CD38" s="42"/>
      <c r="CE38" s="9"/>
      <c r="CF38" s="13">
        <f t="shared" si="24"/>
        <v>0</v>
      </c>
      <c r="CG38" s="42"/>
      <c r="CH38" s="9"/>
      <c r="CI38" s="13">
        <f t="shared" si="25"/>
        <v>0</v>
      </c>
      <c r="CJ38" s="42"/>
      <c r="CK38" s="9"/>
      <c r="CL38" s="13">
        <f t="shared" si="26"/>
        <v>0</v>
      </c>
      <c r="CM38" s="42"/>
      <c r="CN38" s="9"/>
      <c r="CO38" s="13">
        <f t="shared" si="27"/>
        <v>0</v>
      </c>
      <c r="CP38" s="42"/>
      <c r="CQ38" s="9"/>
      <c r="CR38" s="13">
        <f t="shared" si="28"/>
        <v>0</v>
      </c>
      <c r="CS38" s="42"/>
      <c r="CT38" s="9"/>
      <c r="CU38" s="13">
        <f t="shared" si="29"/>
        <v>0</v>
      </c>
      <c r="CV38" s="42"/>
      <c r="CW38" s="9"/>
      <c r="CX38" s="13">
        <f t="shared" si="30"/>
        <v>0</v>
      </c>
      <c r="CY38" s="42"/>
      <c r="CZ38" s="9"/>
      <c r="DA38" s="13">
        <f t="shared" si="31"/>
        <v>0</v>
      </c>
      <c r="DB38" s="42"/>
    </row>
    <row r="39" spans="1:106" hidden="1" x14ac:dyDescent="0.35">
      <c r="A39" s="54">
        <v>10310236</v>
      </c>
      <c r="B39" s="54" t="s">
        <v>63</v>
      </c>
      <c r="C39" s="47">
        <v>40</v>
      </c>
      <c r="D39" s="46">
        <v>9</v>
      </c>
      <c r="E39" s="48">
        <v>6300</v>
      </c>
      <c r="F39" s="52"/>
      <c r="G39" s="48" t="s">
        <v>0</v>
      </c>
      <c r="H39" s="26"/>
      <c r="I39" s="20"/>
      <c r="J39" s="20"/>
      <c r="K39" s="41"/>
      <c r="L39" s="41"/>
      <c r="M39" s="20">
        <f t="shared" si="0"/>
        <v>0</v>
      </c>
      <c r="N39" s="20">
        <f t="shared" si="1"/>
        <v>0</v>
      </c>
      <c r="O39" s="26">
        <f t="shared" si="32"/>
        <v>0</v>
      </c>
      <c r="P39" s="26">
        <f t="shared" si="2"/>
        <v>0</v>
      </c>
      <c r="Q39" s="3"/>
      <c r="R39" s="27">
        <f t="shared" si="34"/>
        <v>0</v>
      </c>
      <c r="S39" s="42"/>
      <c r="T39" s="3"/>
      <c r="U39" s="13">
        <f t="shared" si="4"/>
        <v>0</v>
      </c>
      <c r="V39" s="42"/>
      <c r="W39" s="3"/>
      <c r="X39" s="13">
        <f t="shared" si="5"/>
        <v>0</v>
      </c>
      <c r="Y39" s="42"/>
      <c r="Z39" s="3"/>
      <c r="AA39" s="13">
        <f t="shared" si="6"/>
        <v>0</v>
      </c>
      <c r="AB39" s="42"/>
      <c r="AC39" s="3"/>
      <c r="AD39" s="13">
        <f t="shared" si="7"/>
        <v>0</v>
      </c>
      <c r="AE39" s="42"/>
      <c r="AF39" s="3"/>
      <c r="AG39" s="13">
        <f t="shared" si="8"/>
        <v>0</v>
      </c>
      <c r="AH39" s="42"/>
      <c r="AI39" s="6"/>
      <c r="AJ39" s="13">
        <f t="shared" si="9"/>
        <v>0</v>
      </c>
      <c r="AK39" s="42"/>
      <c r="AL39" s="7"/>
      <c r="AM39" s="13">
        <f t="shared" si="33"/>
        <v>0</v>
      </c>
      <c r="AN39" s="42"/>
      <c r="AO39" s="9"/>
      <c r="AP39" s="13">
        <f t="shared" si="10"/>
        <v>0</v>
      </c>
      <c r="AQ39" s="42"/>
      <c r="AR39" s="9"/>
      <c r="AS39" s="13">
        <f t="shared" si="11"/>
        <v>0</v>
      </c>
      <c r="AT39" s="42"/>
      <c r="AU39" s="9"/>
      <c r="AV39" s="13">
        <f t="shared" si="12"/>
        <v>0</v>
      </c>
      <c r="AW39" s="42"/>
      <c r="AX39" s="9"/>
      <c r="AY39" s="13">
        <f t="shared" si="13"/>
        <v>0</v>
      </c>
      <c r="AZ39" s="42"/>
      <c r="BA39" s="9"/>
      <c r="BB39" s="13">
        <f t="shared" si="14"/>
        <v>0</v>
      </c>
      <c r="BC39" s="42"/>
      <c r="BD39" s="9"/>
      <c r="BE39" s="13">
        <f t="shared" si="15"/>
        <v>0</v>
      </c>
      <c r="BF39" s="42"/>
      <c r="BG39" s="9"/>
      <c r="BH39" s="13">
        <f t="shared" si="16"/>
        <v>0</v>
      </c>
      <c r="BI39" s="42"/>
      <c r="BJ39" s="9"/>
      <c r="BK39" s="13">
        <f t="shared" si="17"/>
        <v>0</v>
      </c>
      <c r="BL39" s="42"/>
      <c r="BM39" s="9"/>
      <c r="BN39" s="13">
        <f t="shared" si="18"/>
        <v>0</v>
      </c>
      <c r="BO39" s="42"/>
      <c r="BP39" s="9"/>
      <c r="BQ39" s="13">
        <f t="shared" si="19"/>
        <v>0</v>
      </c>
      <c r="BR39" s="42"/>
      <c r="BS39" s="9"/>
      <c r="BT39" s="13">
        <f t="shared" si="20"/>
        <v>0</v>
      </c>
      <c r="BU39" s="42"/>
      <c r="BV39" s="9"/>
      <c r="BW39" s="13">
        <f t="shared" si="21"/>
        <v>0</v>
      </c>
      <c r="BX39" s="42"/>
      <c r="BY39" s="9"/>
      <c r="BZ39" s="13">
        <f t="shared" si="22"/>
        <v>0</v>
      </c>
      <c r="CA39" s="42"/>
      <c r="CB39" s="9"/>
      <c r="CC39" s="13">
        <f t="shared" si="23"/>
        <v>0</v>
      </c>
      <c r="CD39" s="42"/>
      <c r="CE39" s="9"/>
      <c r="CF39" s="13">
        <f t="shared" si="24"/>
        <v>0</v>
      </c>
      <c r="CG39" s="42"/>
      <c r="CH39" s="9"/>
      <c r="CI39" s="13">
        <f t="shared" si="25"/>
        <v>0</v>
      </c>
      <c r="CJ39" s="42"/>
      <c r="CK39" s="9"/>
      <c r="CL39" s="13">
        <f t="shared" si="26"/>
        <v>0</v>
      </c>
      <c r="CM39" s="42"/>
      <c r="CN39" s="9"/>
      <c r="CO39" s="13">
        <f t="shared" si="27"/>
        <v>0</v>
      </c>
      <c r="CP39" s="42"/>
      <c r="CQ39" s="9"/>
      <c r="CR39" s="13">
        <f t="shared" si="28"/>
        <v>0</v>
      </c>
      <c r="CS39" s="42"/>
      <c r="CT39" s="9"/>
      <c r="CU39" s="13">
        <f t="shared" si="29"/>
        <v>0</v>
      </c>
      <c r="CV39" s="42"/>
      <c r="CW39" s="9"/>
      <c r="CX39" s="13">
        <f t="shared" si="30"/>
        <v>0</v>
      </c>
      <c r="CY39" s="42"/>
      <c r="CZ39" s="9"/>
      <c r="DA39" s="13">
        <f t="shared" si="31"/>
        <v>0</v>
      </c>
      <c r="DB39" s="42"/>
    </row>
    <row r="40" spans="1:106" hidden="1" x14ac:dyDescent="0.35">
      <c r="A40" s="54">
        <v>10310302</v>
      </c>
      <c r="B40" s="54" t="s">
        <v>81</v>
      </c>
      <c r="C40" s="47">
        <v>40</v>
      </c>
      <c r="D40" s="46">
        <v>12</v>
      </c>
      <c r="E40" s="48"/>
      <c r="F40" s="52"/>
      <c r="G40" s="48" t="s">
        <v>5</v>
      </c>
      <c r="H40" s="26"/>
      <c r="I40" s="20"/>
      <c r="J40" s="20"/>
      <c r="K40" s="41"/>
      <c r="L40" s="41"/>
      <c r="M40" s="20"/>
      <c r="N40" s="20"/>
      <c r="O40" s="26">
        <f t="shared" si="32"/>
        <v>0</v>
      </c>
      <c r="P40" s="26">
        <f t="shared" ref="P40:P58" si="35">S40+V40+Y40+AB40+AE40+AH40+AK40+AN40+AQ40+AT40+AW40+AZ40+BC40+BF40+BI40++BL40+BO40+BR40+BU40+BX40+CA40+CD40+CG40+CJ40+CM40+CP40+CS40+CV40+CY40+DB40</f>
        <v>0</v>
      </c>
      <c r="Q40" s="3"/>
      <c r="R40" s="27">
        <f t="shared" si="34"/>
        <v>0</v>
      </c>
      <c r="S40" s="42"/>
      <c r="T40" s="3"/>
      <c r="U40" s="13">
        <f t="shared" si="4"/>
        <v>0</v>
      </c>
      <c r="V40" s="42"/>
      <c r="W40" s="3"/>
      <c r="X40" s="13">
        <f t="shared" si="5"/>
        <v>0</v>
      </c>
      <c r="Y40" s="42"/>
      <c r="Z40" s="3"/>
      <c r="AA40" s="13">
        <f t="shared" si="6"/>
        <v>0</v>
      </c>
      <c r="AB40" s="42"/>
      <c r="AC40" s="3"/>
      <c r="AD40" s="13">
        <f t="shared" si="7"/>
        <v>0</v>
      </c>
      <c r="AE40" s="42"/>
      <c r="AF40" s="3"/>
      <c r="AG40" s="13">
        <f t="shared" si="8"/>
        <v>0</v>
      </c>
      <c r="AH40" s="42"/>
      <c r="AI40" s="6"/>
      <c r="AJ40" s="13">
        <f t="shared" si="9"/>
        <v>0</v>
      </c>
      <c r="AK40" s="42"/>
      <c r="AL40" s="7"/>
      <c r="AM40" s="13">
        <f t="shared" si="33"/>
        <v>0</v>
      </c>
      <c r="AN40" s="42"/>
      <c r="AO40" s="9"/>
      <c r="AP40" s="13">
        <f t="shared" si="10"/>
        <v>0</v>
      </c>
      <c r="AQ40" s="42"/>
      <c r="AR40" s="9"/>
      <c r="AS40" s="13">
        <f t="shared" si="11"/>
        <v>0</v>
      </c>
      <c r="AT40" s="42"/>
      <c r="AU40" s="9"/>
      <c r="AV40" s="13">
        <f t="shared" si="12"/>
        <v>0</v>
      </c>
      <c r="AW40" s="42"/>
      <c r="AX40" s="9"/>
      <c r="AY40" s="13">
        <f t="shared" si="13"/>
        <v>0</v>
      </c>
      <c r="AZ40" s="42"/>
      <c r="BA40" s="9"/>
      <c r="BB40" s="13">
        <f t="shared" si="14"/>
        <v>0</v>
      </c>
      <c r="BC40" s="42"/>
      <c r="BD40" s="9"/>
      <c r="BE40" s="13">
        <f t="shared" si="15"/>
        <v>0</v>
      </c>
      <c r="BF40" s="42"/>
      <c r="BG40" s="9"/>
      <c r="BH40" s="13">
        <f t="shared" si="16"/>
        <v>0</v>
      </c>
      <c r="BI40" s="42"/>
      <c r="BJ40" s="9"/>
      <c r="BK40" s="13">
        <f t="shared" si="17"/>
        <v>0</v>
      </c>
      <c r="BL40" s="42"/>
      <c r="BM40" s="9"/>
      <c r="BN40" s="13">
        <f t="shared" si="18"/>
        <v>0</v>
      </c>
      <c r="BO40" s="42"/>
      <c r="BP40" s="9"/>
      <c r="BQ40" s="13">
        <f t="shared" si="19"/>
        <v>0</v>
      </c>
      <c r="BR40" s="42"/>
      <c r="BS40" s="9"/>
      <c r="BT40" s="13">
        <f t="shared" si="20"/>
        <v>0</v>
      </c>
      <c r="BU40" s="42"/>
      <c r="BV40" s="9"/>
      <c r="BW40" s="13">
        <f t="shared" si="21"/>
        <v>0</v>
      </c>
      <c r="BX40" s="42"/>
      <c r="BY40" s="9"/>
      <c r="BZ40" s="13">
        <f t="shared" si="22"/>
        <v>0</v>
      </c>
      <c r="CA40" s="42"/>
      <c r="CB40" s="9"/>
      <c r="CC40" s="13">
        <f t="shared" si="23"/>
        <v>0</v>
      </c>
      <c r="CD40" s="42"/>
      <c r="CE40" s="9"/>
      <c r="CF40" s="13">
        <f t="shared" si="24"/>
        <v>0</v>
      </c>
      <c r="CG40" s="42"/>
      <c r="CH40" s="9"/>
      <c r="CI40" s="13">
        <f t="shared" si="25"/>
        <v>0</v>
      </c>
      <c r="CJ40" s="42"/>
      <c r="CK40" s="9"/>
      <c r="CL40" s="13">
        <f t="shared" si="26"/>
        <v>0</v>
      </c>
      <c r="CM40" s="42"/>
      <c r="CN40" s="9"/>
      <c r="CO40" s="13">
        <f t="shared" si="27"/>
        <v>0</v>
      </c>
      <c r="CP40" s="42"/>
      <c r="CQ40" s="9"/>
      <c r="CR40" s="13">
        <f t="shared" si="28"/>
        <v>0</v>
      </c>
      <c r="CS40" s="42"/>
      <c r="CT40" s="9"/>
      <c r="CU40" s="13">
        <f t="shared" si="29"/>
        <v>0</v>
      </c>
      <c r="CV40" s="42"/>
      <c r="CW40" s="9"/>
      <c r="CX40" s="13">
        <f t="shared" si="30"/>
        <v>0</v>
      </c>
      <c r="CY40" s="42"/>
      <c r="CZ40" s="9"/>
      <c r="DA40" s="13">
        <f t="shared" si="31"/>
        <v>0</v>
      </c>
      <c r="DB40" s="42"/>
    </row>
    <row r="41" spans="1:106" hidden="1" x14ac:dyDescent="0.35">
      <c r="A41" s="54">
        <v>10310303</v>
      </c>
      <c r="B41" s="54" t="s">
        <v>82</v>
      </c>
      <c r="C41" s="47">
        <v>40</v>
      </c>
      <c r="D41" s="46">
        <v>15</v>
      </c>
      <c r="E41" s="48"/>
      <c r="F41" s="52"/>
      <c r="G41" s="48" t="s">
        <v>5</v>
      </c>
      <c r="H41" s="26"/>
      <c r="I41" s="20"/>
      <c r="J41" s="20"/>
      <c r="K41" s="41"/>
      <c r="L41" s="41"/>
      <c r="M41" s="20"/>
      <c r="N41" s="20"/>
      <c r="O41" s="26">
        <f t="shared" si="32"/>
        <v>0</v>
      </c>
      <c r="P41" s="26">
        <f t="shared" si="35"/>
        <v>0</v>
      </c>
      <c r="Q41" s="3"/>
      <c r="R41" s="27">
        <f t="shared" si="34"/>
        <v>0</v>
      </c>
      <c r="S41" s="42"/>
      <c r="T41" s="3"/>
      <c r="U41" s="13">
        <f t="shared" si="4"/>
        <v>0</v>
      </c>
      <c r="V41" s="42"/>
      <c r="W41" s="3"/>
      <c r="X41" s="13">
        <f t="shared" si="5"/>
        <v>0</v>
      </c>
      <c r="Y41" s="42"/>
      <c r="Z41" s="1"/>
      <c r="AA41" s="13">
        <f t="shared" si="6"/>
        <v>0</v>
      </c>
      <c r="AB41" s="42"/>
      <c r="AC41" s="3"/>
      <c r="AD41" s="13">
        <f t="shared" si="7"/>
        <v>0</v>
      </c>
      <c r="AE41" s="42"/>
      <c r="AF41" s="3"/>
      <c r="AG41" s="13">
        <f t="shared" si="8"/>
        <v>0</v>
      </c>
      <c r="AH41" s="42"/>
      <c r="AI41" s="6"/>
      <c r="AJ41" s="13">
        <f t="shared" si="9"/>
        <v>0</v>
      </c>
      <c r="AK41" s="42"/>
      <c r="AL41" s="7"/>
      <c r="AM41" s="13">
        <f t="shared" si="33"/>
        <v>0</v>
      </c>
      <c r="AN41" s="42"/>
      <c r="AO41" s="9"/>
      <c r="AP41" s="13">
        <f t="shared" si="10"/>
        <v>0</v>
      </c>
      <c r="AQ41" s="42"/>
      <c r="AR41" s="9"/>
      <c r="AS41" s="13">
        <f t="shared" si="11"/>
        <v>0</v>
      </c>
      <c r="AT41" s="42"/>
      <c r="AU41" s="9"/>
      <c r="AV41" s="13">
        <f t="shared" si="12"/>
        <v>0</v>
      </c>
      <c r="AW41" s="42"/>
      <c r="AX41" s="9"/>
      <c r="AY41" s="13">
        <f t="shared" si="13"/>
        <v>0</v>
      </c>
      <c r="AZ41" s="42"/>
      <c r="BA41" s="9"/>
      <c r="BB41" s="13">
        <f t="shared" si="14"/>
        <v>0</v>
      </c>
      <c r="BC41" s="42"/>
      <c r="BD41" s="9"/>
      <c r="BE41" s="13">
        <f t="shared" si="15"/>
        <v>0</v>
      </c>
      <c r="BF41" s="42"/>
      <c r="BG41" s="9"/>
      <c r="BH41" s="13">
        <f t="shared" si="16"/>
        <v>0</v>
      </c>
      <c r="BI41" s="42"/>
      <c r="BJ41" s="9"/>
      <c r="BK41" s="13">
        <f t="shared" si="17"/>
        <v>0</v>
      </c>
      <c r="BL41" s="42"/>
      <c r="BM41" s="9"/>
      <c r="BN41" s="13">
        <f t="shared" si="18"/>
        <v>0</v>
      </c>
      <c r="BO41" s="42"/>
      <c r="BP41" s="9"/>
      <c r="BQ41" s="13">
        <f t="shared" si="19"/>
        <v>0</v>
      </c>
      <c r="BR41" s="42"/>
      <c r="BS41" s="9"/>
      <c r="BT41" s="13">
        <f t="shared" si="20"/>
        <v>0</v>
      </c>
      <c r="BU41" s="42"/>
      <c r="BV41" s="9"/>
      <c r="BW41" s="13">
        <f t="shared" si="21"/>
        <v>0</v>
      </c>
      <c r="BX41" s="42"/>
      <c r="BY41" s="9"/>
      <c r="BZ41" s="13">
        <f t="shared" si="22"/>
        <v>0</v>
      </c>
      <c r="CA41" s="42"/>
      <c r="CB41" s="9"/>
      <c r="CC41" s="13">
        <f t="shared" si="23"/>
        <v>0</v>
      </c>
      <c r="CD41" s="42"/>
      <c r="CE41" s="9"/>
      <c r="CF41" s="13">
        <f t="shared" si="24"/>
        <v>0</v>
      </c>
      <c r="CG41" s="42"/>
      <c r="CH41" s="9"/>
      <c r="CI41" s="13">
        <f t="shared" si="25"/>
        <v>0</v>
      </c>
      <c r="CJ41" s="42"/>
      <c r="CK41" s="9"/>
      <c r="CL41" s="13">
        <f t="shared" si="26"/>
        <v>0</v>
      </c>
      <c r="CM41" s="42"/>
      <c r="CN41" s="9"/>
      <c r="CO41" s="13">
        <f t="shared" si="27"/>
        <v>0</v>
      </c>
      <c r="CP41" s="42"/>
      <c r="CQ41" s="9"/>
      <c r="CR41" s="13">
        <f t="shared" si="28"/>
        <v>0</v>
      </c>
      <c r="CS41" s="42"/>
      <c r="CT41" s="9"/>
      <c r="CU41" s="13">
        <f t="shared" si="29"/>
        <v>0</v>
      </c>
      <c r="CV41" s="42"/>
      <c r="CW41" s="9"/>
      <c r="CX41" s="13">
        <f t="shared" si="30"/>
        <v>0</v>
      </c>
      <c r="CY41" s="42"/>
      <c r="CZ41" s="9"/>
      <c r="DA41" s="13">
        <f t="shared" si="31"/>
        <v>0</v>
      </c>
      <c r="DB41" s="42"/>
    </row>
    <row r="42" spans="1:106" hidden="1" x14ac:dyDescent="0.35">
      <c r="A42" s="54">
        <v>10310304</v>
      </c>
      <c r="B42" s="54" t="s">
        <v>83</v>
      </c>
      <c r="C42" s="47">
        <v>40</v>
      </c>
      <c r="D42" s="46">
        <v>15</v>
      </c>
      <c r="E42" s="48"/>
      <c r="F42" s="52"/>
      <c r="G42" s="48" t="s">
        <v>5</v>
      </c>
      <c r="H42" s="26"/>
      <c r="I42" s="20"/>
      <c r="J42" s="20"/>
      <c r="K42" s="41"/>
      <c r="L42" s="41"/>
      <c r="M42" s="20"/>
      <c r="N42" s="20"/>
      <c r="O42" s="26">
        <f t="shared" si="32"/>
        <v>0</v>
      </c>
      <c r="P42" s="26">
        <f t="shared" si="35"/>
        <v>0</v>
      </c>
      <c r="Q42" s="3"/>
      <c r="R42" s="27">
        <f t="shared" si="34"/>
        <v>0</v>
      </c>
      <c r="S42" s="42"/>
      <c r="T42" s="3"/>
      <c r="U42" s="13">
        <f t="shared" si="4"/>
        <v>0</v>
      </c>
      <c r="V42" s="42"/>
      <c r="W42" s="3"/>
      <c r="X42" s="13">
        <f t="shared" si="5"/>
        <v>0</v>
      </c>
      <c r="Y42" s="42"/>
      <c r="Z42" s="1"/>
      <c r="AA42" s="13">
        <f t="shared" si="6"/>
        <v>0</v>
      </c>
      <c r="AB42" s="42"/>
      <c r="AC42" s="3"/>
      <c r="AD42" s="13">
        <f t="shared" si="7"/>
        <v>0</v>
      </c>
      <c r="AE42" s="42"/>
      <c r="AF42" s="3"/>
      <c r="AG42" s="13">
        <f t="shared" si="8"/>
        <v>0</v>
      </c>
      <c r="AH42" s="42"/>
      <c r="AI42" s="6"/>
      <c r="AJ42" s="13">
        <f t="shared" si="9"/>
        <v>0</v>
      </c>
      <c r="AK42" s="42"/>
      <c r="AL42" s="7"/>
      <c r="AM42" s="13">
        <f t="shared" si="33"/>
        <v>0</v>
      </c>
      <c r="AN42" s="42"/>
      <c r="AO42" s="9"/>
      <c r="AP42" s="13">
        <f t="shared" si="10"/>
        <v>0</v>
      </c>
      <c r="AQ42" s="42"/>
      <c r="AR42" s="9"/>
      <c r="AS42" s="13">
        <f t="shared" si="11"/>
        <v>0</v>
      </c>
      <c r="AT42" s="42"/>
      <c r="AU42" s="9"/>
      <c r="AV42" s="13">
        <f t="shared" si="12"/>
        <v>0</v>
      </c>
      <c r="AW42" s="42"/>
      <c r="AX42" s="9"/>
      <c r="AY42" s="13">
        <f t="shared" si="13"/>
        <v>0</v>
      </c>
      <c r="AZ42" s="42"/>
      <c r="BA42" s="9"/>
      <c r="BB42" s="13">
        <f t="shared" si="14"/>
        <v>0</v>
      </c>
      <c r="BC42" s="42"/>
      <c r="BD42" s="9"/>
      <c r="BE42" s="13">
        <f t="shared" si="15"/>
        <v>0</v>
      </c>
      <c r="BF42" s="42"/>
      <c r="BG42" s="9"/>
      <c r="BH42" s="13">
        <f t="shared" si="16"/>
        <v>0</v>
      </c>
      <c r="BI42" s="42"/>
      <c r="BJ42" s="9"/>
      <c r="BK42" s="13">
        <f t="shared" si="17"/>
        <v>0</v>
      </c>
      <c r="BL42" s="42"/>
      <c r="BM42" s="9"/>
      <c r="BN42" s="13">
        <f t="shared" si="18"/>
        <v>0</v>
      </c>
      <c r="BO42" s="42"/>
      <c r="BP42" s="9"/>
      <c r="BQ42" s="13">
        <f t="shared" si="19"/>
        <v>0</v>
      </c>
      <c r="BR42" s="42"/>
      <c r="BS42" s="9"/>
      <c r="BT42" s="13">
        <f t="shared" si="20"/>
        <v>0</v>
      </c>
      <c r="BU42" s="42"/>
      <c r="BV42" s="9"/>
      <c r="BW42" s="13">
        <f t="shared" si="21"/>
        <v>0</v>
      </c>
      <c r="BX42" s="42"/>
      <c r="BY42" s="9"/>
      <c r="BZ42" s="13">
        <f t="shared" si="22"/>
        <v>0</v>
      </c>
      <c r="CA42" s="42"/>
      <c r="CB42" s="9"/>
      <c r="CC42" s="13">
        <f t="shared" si="23"/>
        <v>0</v>
      </c>
      <c r="CD42" s="42"/>
      <c r="CE42" s="9"/>
      <c r="CF42" s="13">
        <f t="shared" si="24"/>
        <v>0</v>
      </c>
      <c r="CG42" s="42"/>
      <c r="CH42" s="9"/>
      <c r="CI42" s="13">
        <f t="shared" si="25"/>
        <v>0</v>
      </c>
      <c r="CJ42" s="42"/>
      <c r="CK42" s="9"/>
      <c r="CL42" s="13">
        <f t="shared" si="26"/>
        <v>0</v>
      </c>
      <c r="CM42" s="42"/>
      <c r="CN42" s="9"/>
      <c r="CO42" s="13">
        <f t="shared" si="27"/>
        <v>0</v>
      </c>
      <c r="CP42" s="42"/>
      <c r="CQ42" s="9"/>
      <c r="CR42" s="13">
        <f t="shared" si="28"/>
        <v>0</v>
      </c>
      <c r="CS42" s="42"/>
      <c r="CT42" s="9"/>
      <c r="CU42" s="13">
        <f t="shared" si="29"/>
        <v>0</v>
      </c>
      <c r="CV42" s="42"/>
      <c r="CW42" s="9"/>
      <c r="CX42" s="13">
        <f t="shared" si="30"/>
        <v>0</v>
      </c>
      <c r="CY42" s="42"/>
      <c r="CZ42" s="9"/>
      <c r="DA42" s="13">
        <f t="shared" si="31"/>
        <v>0</v>
      </c>
      <c r="DB42" s="42"/>
    </row>
    <row r="43" spans="1:106" hidden="1" x14ac:dyDescent="0.35">
      <c r="A43" s="54">
        <v>10310290</v>
      </c>
      <c r="B43" s="54" t="s">
        <v>72</v>
      </c>
      <c r="C43" s="47">
        <v>30</v>
      </c>
      <c r="D43" s="46">
        <v>9</v>
      </c>
      <c r="E43" s="48">
        <v>6300</v>
      </c>
      <c r="F43" s="52"/>
      <c r="G43" s="48" t="s">
        <v>0</v>
      </c>
      <c r="H43" s="26"/>
      <c r="I43" s="20"/>
      <c r="J43" s="20"/>
      <c r="K43" s="41"/>
      <c r="L43" s="41"/>
      <c r="M43" s="20">
        <f t="shared" si="0"/>
        <v>0</v>
      </c>
      <c r="N43" s="20">
        <f t="shared" si="1"/>
        <v>0</v>
      </c>
      <c r="O43" s="26">
        <f t="shared" si="32"/>
        <v>0</v>
      </c>
      <c r="P43" s="26">
        <f t="shared" si="35"/>
        <v>0</v>
      </c>
      <c r="Q43" s="3"/>
      <c r="R43" s="27">
        <f t="shared" si="34"/>
        <v>0</v>
      </c>
      <c r="S43" s="42"/>
      <c r="T43" s="3"/>
      <c r="U43" s="13">
        <f t="shared" si="4"/>
        <v>0</v>
      </c>
      <c r="V43" s="42"/>
      <c r="W43" s="3"/>
      <c r="X43" s="13">
        <f t="shared" si="5"/>
        <v>0</v>
      </c>
      <c r="Y43" s="42"/>
      <c r="Z43" s="1"/>
      <c r="AA43" s="13">
        <f t="shared" si="6"/>
        <v>0</v>
      </c>
      <c r="AB43" s="42"/>
      <c r="AC43" s="3"/>
      <c r="AD43" s="13">
        <f t="shared" si="7"/>
        <v>0</v>
      </c>
      <c r="AE43" s="42"/>
      <c r="AF43" s="3"/>
      <c r="AG43" s="13">
        <f t="shared" si="8"/>
        <v>0</v>
      </c>
      <c r="AH43" s="42"/>
      <c r="AI43" s="6"/>
      <c r="AJ43" s="13">
        <f t="shared" si="9"/>
        <v>0</v>
      </c>
      <c r="AK43" s="42"/>
      <c r="AL43" s="7"/>
      <c r="AM43" s="13">
        <f t="shared" si="33"/>
        <v>0</v>
      </c>
      <c r="AN43" s="42"/>
      <c r="AO43" s="9"/>
      <c r="AP43" s="13">
        <f t="shared" si="10"/>
        <v>0</v>
      </c>
      <c r="AQ43" s="42"/>
      <c r="AR43" s="9"/>
      <c r="AS43" s="13">
        <f t="shared" si="11"/>
        <v>0</v>
      </c>
      <c r="AT43" s="42"/>
      <c r="AU43" s="9"/>
      <c r="AV43" s="13">
        <f t="shared" si="12"/>
        <v>0</v>
      </c>
      <c r="AW43" s="42"/>
      <c r="AX43" s="9"/>
      <c r="AY43" s="13">
        <f t="shared" si="13"/>
        <v>0</v>
      </c>
      <c r="AZ43" s="42"/>
      <c r="BA43" s="9"/>
      <c r="BB43" s="13">
        <f t="shared" si="14"/>
        <v>0</v>
      </c>
      <c r="BC43" s="42"/>
      <c r="BD43" s="9"/>
      <c r="BE43" s="13">
        <f t="shared" si="15"/>
        <v>0</v>
      </c>
      <c r="BF43" s="42"/>
      <c r="BG43" s="9"/>
      <c r="BH43" s="13">
        <f t="shared" si="16"/>
        <v>0</v>
      </c>
      <c r="BI43" s="42"/>
      <c r="BJ43" s="9"/>
      <c r="BK43" s="13">
        <f t="shared" si="17"/>
        <v>0</v>
      </c>
      <c r="BL43" s="42"/>
      <c r="BM43" s="9"/>
      <c r="BN43" s="13">
        <f t="shared" si="18"/>
        <v>0</v>
      </c>
      <c r="BO43" s="42"/>
      <c r="BP43" s="9"/>
      <c r="BQ43" s="13">
        <f t="shared" si="19"/>
        <v>0</v>
      </c>
      <c r="BR43" s="42"/>
      <c r="BS43" s="9"/>
      <c r="BT43" s="13">
        <f t="shared" si="20"/>
        <v>0</v>
      </c>
      <c r="BU43" s="42"/>
      <c r="BV43" s="9"/>
      <c r="BW43" s="13">
        <f t="shared" si="21"/>
        <v>0</v>
      </c>
      <c r="BX43" s="42"/>
      <c r="BY43" s="9"/>
      <c r="BZ43" s="13">
        <f t="shared" si="22"/>
        <v>0</v>
      </c>
      <c r="CA43" s="42"/>
      <c r="CB43" s="9"/>
      <c r="CC43" s="13">
        <f t="shared" si="23"/>
        <v>0</v>
      </c>
      <c r="CD43" s="42"/>
      <c r="CE43" s="9"/>
      <c r="CF43" s="13">
        <f t="shared" si="24"/>
        <v>0</v>
      </c>
      <c r="CG43" s="42"/>
      <c r="CH43" s="9"/>
      <c r="CI43" s="13">
        <f t="shared" si="25"/>
        <v>0</v>
      </c>
      <c r="CJ43" s="42"/>
      <c r="CK43" s="9"/>
      <c r="CL43" s="13">
        <f t="shared" si="26"/>
        <v>0</v>
      </c>
      <c r="CM43" s="42"/>
      <c r="CN43" s="9"/>
      <c r="CO43" s="13">
        <f t="shared" si="27"/>
        <v>0</v>
      </c>
      <c r="CP43" s="42"/>
      <c r="CQ43" s="9"/>
      <c r="CR43" s="13">
        <f t="shared" si="28"/>
        <v>0</v>
      </c>
      <c r="CS43" s="42"/>
      <c r="CT43" s="9"/>
      <c r="CU43" s="13">
        <f t="shared" si="29"/>
        <v>0</v>
      </c>
      <c r="CV43" s="42"/>
      <c r="CW43" s="9"/>
      <c r="CX43" s="13">
        <f t="shared" si="30"/>
        <v>0</v>
      </c>
      <c r="CY43" s="42"/>
      <c r="CZ43" s="9"/>
      <c r="DA43" s="13">
        <f t="shared" si="31"/>
        <v>0</v>
      </c>
      <c r="DB43" s="42"/>
    </row>
    <row r="44" spans="1:106" hidden="1" x14ac:dyDescent="0.35">
      <c r="A44" s="54">
        <v>10310291</v>
      </c>
      <c r="B44" s="54" t="s">
        <v>73</v>
      </c>
      <c r="C44" s="47">
        <v>30</v>
      </c>
      <c r="D44" s="46">
        <v>9</v>
      </c>
      <c r="E44" s="48">
        <v>6300</v>
      </c>
      <c r="F44" s="52"/>
      <c r="G44" s="48" t="s">
        <v>0</v>
      </c>
      <c r="H44" s="26"/>
      <c r="I44" s="20"/>
      <c r="J44" s="20"/>
      <c r="K44" s="41"/>
      <c r="L44" s="41"/>
      <c r="M44" s="20">
        <f t="shared" si="0"/>
        <v>0</v>
      </c>
      <c r="N44" s="20">
        <f t="shared" si="1"/>
        <v>0</v>
      </c>
      <c r="O44" s="26">
        <f>Q44+T44+W44+Z44+AC44+AF44+AL44+AI44+AO44+AR44+AU44+AX44+BA44+BD44+BG44+BJ44+BM44+BP44+BS44+BV44+BY44+CB44+CE44+CH44+CK44+CN44+CQ44+CT44+CW44</f>
        <v>0</v>
      </c>
      <c r="P44" s="26">
        <f t="shared" si="35"/>
        <v>0</v>
      </c>
      <c r="Q44" s="3"/>
      <c r="R44" s="27">
        <f t="shared" si="34"/>
        <v>0</v>
      </c>
      <c r="S44" s="42"/>
      <c r="T44" s="3"/>
      <c r="U44" s="13">
        <f t="shared" si="4"/>
        <v>0</v>
      </c>
      <c r="V44" s="42"/>
      <c r="W44" s="3"/>
      <c r="X44" s="13">
        <f t="shared" si="5"/>
        <v>0</v>
      </c>
      <c r="Y44" s="42"/>
      <c r="Z44" s="1"/>
      <c r="AA44" s="13">
        <f t="shared" si="6"/>
        <v>0</v>
      </c>
      <c r="AB44" s="42"/>
      <c r="AC44" s="3"/>
      <c r="AD44" s="13">
        <f t="shared" si="7"/>
        <v>0</v>
      </c>
      <c r="AE44" s="42"/>
      <c r="AF44" s="3"/>
      <c r="AG44" s="13">
        <f t="shared" si="8"/>
        <v>0</v>
      </c>
      <c r="AH44" s="42"/>
      <c r="AI44" s="6"/>
      <c r="AJ44" s="13">
        <f t="shared" si="9"/>
        <v>0</v>
      </c>
      <c r="AK44" s="42"/>
      <c r="AL44" s="7"/>
      <c r="AM44" s="13">
        <f t="shared" si="33"/>
        <v>0</v>
      </c>
      <c r="AN44" s="42"/>
      <c r="AO44" s="9"/>
      <c r="AP44" s="13">
        <f t="shared" si="10"/>
        <v>0</v>
      </c>
      <c r="AQ44" s="42"/>
      <c r="AR44" s="9"/>
      <c r="AS44" s="13">
        <f t="shared" si="11"/>
        <v>0</v>
      </c>
      <c r="AT44" s="42"/>
      <c r="AU44" s="9"/>
      <c r="AV44" s="13">
        <f t="shared" si="12"/>
        <v>0</v>
      </c>
      <c r="AW44" s="42"/>
      <c r="AX44" s="9"/>
      <c r="AY44" s="13">
        <f t="shared" si="13"/>
        <v>0</v>
      </c>
      <c r="AZ44" s="42"/>
      <c r="BA44" s="9"/>
      <c r="BB44" s="13">
        <f>(BA44*D44)/1000</f>
        <v>0</v>
      </c>
      <c r="BC44" s="42"/>
      <c r="BD44" s="9"/>
      <c r="BE44" s="13">
        <f>(BD44*D44)/1000</f>
        <v>0</v>
      </c>
      <c r="BF44" s="42"/>
      <c r="BG44" s="9"/>
      <c r="BH44" s="13">
        <f t="shared" si="16"/>
        <v>0</v>
      </c>
      <c r="BI44" s="42"/>
      <c r="BJ44" s="9"/>
      <c r="BK44" s="13">
        <f t="shared" si="17"/>
        <v>0</v>
      </c>
      <c r="BL44" s="42"/>
      <c r="BM44" s="9"/>
      <c r="BN44" s="13">
        <f t="shared" si="18"/>
        <v>0</v>
      </c>
      <c r="BO44" s="42"/>
      <c r="BP44" s="9"/>
      <c r="BQ44" s="13">
        <f t="shared" si="19"/>
        <v>0</v>
      </c>
      <c r="BR44" s="42"/>
      <c r="BS44" s="9"/>
      <c r="BT44" s="13">
        <f t="shared" si="20"/>
        <v>0</v>
      </c>
      <c r="BU44" s="42"/>
      <c r="BV44" s="9"/>
      <c r="BW44" s="13">
        <f t="shared" si="21"/>
        <v>0</v>
      </c>
      <c r="BX44" s="42"/>
      <c r="BY44" s="9"/>
      <c r="BZ44" s="13">
        <f t="shared" si="22"/>
        <v>0</v>
      </c>
      <c r="CA44" s="42"/>
      <c r="CB44" s="9"/>
      <c r="CC44" s="13">
        <f t="shared" si="23"/>
        <v>0</v>
      </c>
      <c r="CD44" s="42"/>
      <c r="CE44" s="9"/>
      <c r="CF44" s="13">
        <f t="shared" si="24"/>
        <v>0</v>
      </c>
      <c r="CG44" s="42"/>
      <c r="CH44" s="9"/>
      <c r="CI44" s="13">
        <f t="shared" si="25"/>
        <v>0</v>
      </c>
      <c r="CJ44" s="42"/>
      <c r="CK44" s="9"/>
      <c r="CL44" s="13">
        <f t="shared" si="26"/>
        <v>0</v>
      </c>
      <c r="CM44" s="42"/>
      <c r="CN44" s="9"/>
      <c r="CO44" s="13">
        <f t="shared" si="27"/>
        <v>0</v>
      </c>
      <c r="CP44" s="42"/>
      <c r="CQ44" s="9"/>
      <c r="CR44" s="13">
        <f t="shared" si="28"/>
        <v>0</v>
      </c>
      <c r="CS44" s="42"/>
      <c r="CT44" s="9"/>
      <c r="CU44" s="13">
        <f t="shared" si="29"/>
        <v>0</v>
      </c>
      <c r="CV44" s="42"/>
      <c r="CW44" s="9"/>
      <c r="CX44" s="13">
        <f t="shared" si="30"/>
        <v>0</v>
      </c>
      <c r="CY44" s="42"/>
      <c r="CZ44" s="9"/>
      <c r="DA44" s="13">
        <f t="shared" si="31"/>
        <v>0</v>
      </c>
      <c r="DB44" s="42"/>
    </row>
    <row r="45" spans="1:106" s="8" customFormat="1" ht="14.25" hidden="1" customHeight="1" x14ac:dyDescent="0.35">
      <c r="A45" s="54">
        <v>10310196</v>
      </c>
      <c r="B45" s="54" t="s">
        <v>41</v>
      </c>
      <c r="C45" s="47">
        <v>48</v>
      </c>
      <c r="D45" s="46">
        <v>10</v>
      </c>
      <c r="E45" s="48">
        <v>8100</v>
      </c>
      <c r="F45" s="52"/>
      <c r="G45" s="48" t="s">
        <v>22</v>
      </c>
      <c r="H45" s="26"/>
      <c r="I45" s="20"/>
      <c r="J45" s="20"/>
      <c r="K45" s="41"/>
      <c r="L45" s="41"/>
      <c r="M45" s="20">
        <f t="shared" si="0"/>
        <v>0</v>
      </c>
      <c r="N45" s="20">
        <f t="shared" si="1"/>
        <v>0</v>
      </c>
      <c r="O45" s="26">
        <f t="shared" si="32"/>
        <v>0</v>
      </c>
      <c r="P45" s="26">
        <f t="shared" si="35"/>
        <v>0</v>
      </c>
      <c r="Q45" s="2"/>
      <c r="R45" s="13">
        <f t="shared" si="34"/>
        <v>0</v>
      </c>
      <c r="S45" s="42"/>
      <c r="T45" s="3"/>
      <c r="U45" s="13">
        <f t="shared" si="4"/>
        <v>0</v>
      </c>
      <c r="V45" s="42"/>
      <c r="W45" s="2"/>
      <c r="X45" s="13">
        <f t="shared" si="5"/>
        <v>0</v>
      </c>
      <c r="Y45" s="42"/>
      <c r="Z45" s="1"/>
      <c r="AA45" s="13">
        <f t="shared" si="6"/>
        <v>0</v>
      </c>
      <c r="AB45" s="42"/>
      <c r="AC45" s="2"/>
      <c r="AD45" s="13">
        <f t="shared" si="7"/>
        <v>0</v>
      </c>
      <c r="AE45" s="42"/>
      <c r="AF45" s="2"/>
      <c r="AG45" s="13">
        <f t="shared" si="8"/>
        <v>0</v>
      </c>
      <c r="AH45" s="42"/>
      <c r="AI45" s="7"/>
      <c r="AJ45" s="13">
        <f t="shared" si="9"/>
        <v>0</v>
      </c>
      <c r="AK45" s="42"/>
      <c r="AL45" s="7"/>
      <c r="AM45" s="13">
        <f t="shared" si="33"/>
        <v>0</v>
      </c>
      <c r="AN45" s="42"/>
      <c r="AO45" s="9"/>
      <c r="AP45" s="13">
        <f t="shared" si="10"/>
        <v>0</v>
      </c>
      <c r="AQ45" s="42"/>
      <c r="AR45" s="9"/>
      <c r="AS45" s="13">
        <f t="shared" si="11"/>
        <v>0</v>
      </c>
      <c r="AT45" s="42"/>
      <c r="AU45" s="9"/>
      <c r="AV45" s="13">
        <f t="shared" si="12"/>
        <v>0</v>
      </c>
      <c r="AW45" s="42"/>
      <c r="AX45" s="9"/>
      <c r="AY45" s="13">
        <f t="shared" si="13"/>
        <v>0</v>
      </c>
      <c r="AZ45" s="42"/>
      <c r="BA45" s="9"/>
      <c r="BB45" s="13">
        <f t="shared" si="14"/>
        <v>0</v>
      </c>
      <c r="BC45" s="42"/>
      <c r="BD45" s="9"/>
      <c r="BE45" s="13">
        <f t="shared" si="15"/>
        <v>0</v>
      </c>
      <c r="BF45" s="42"/>
      <c r="BG45" s="9"/>
      <c r="BH45" s="13">
        <f t="shared" si="16"/>
        <v>0</v>
      </c>
      <c r="BI45" s="42"/>
      <c r="BJ45" s="9"/>
      <c r="BK45" s="13">
        <f t="shared" si="17"/>
        <v>0</v>
      </c>
      <c r="BL45" s="42"/>
      <c r="BM45" s="9"/>
      <c r="BN45" s="13">
        <f t="shared" si="18"/>
        <v>0</v>
      </c>
      <c r="BO45" s="42"/>
      <c r="BP45" s="9"/>
      <c r="BQ45" s="13">
        <f t="shared" si="19"/>
        <v>0</v>
      </c>
      <c r="BR45" s="42"/>
      <c r="BS45" s="9"/>
      <c r="BT45" s="13">
        <f t="shared" si="20"/>
        <v>0</v>
      </c>
      <c r="BU45" s="42"/>
      <c r="BV45" s="9"/>
      <c r="BW45" s="13">
        <f t="shared" si="21"/>
        <v>0</v>
      </c>
      <c r="BX45" s="42"/>
      <c r="BY45" s="9"/>
      <c r="BZ45" s="13">
        <f t="shared" si="22"/>
        <v>0</v>
      </c>
      <c r="CA45" s="42"/>
      <c r="CB45" s="9"/>
      <c r="CC45" s="13">
        <f t="shared" si="23"/>
        <v>0</v>
      </c>
      <c r="CD45" s="42"/>
      <c r="CE45" s="9"/>
      <c r="CF45" s="13">
        <f t="shared" si="24"/>
        <v>0</v>
      </c>
      <c r="CG45" s="42"/>
      <c r="CH45" s="9"/>
      <c r="CI45" s="13">
        <f t="shared" si="25"/>
        <v>0</v>
      </c>
      <c r="CJ45" s="42"/>
      <c r="CK45" s="9"/>
      <c r="CL45" s="13">
        <f t="shared" si="26"/>
        <v>0</v>
      </c>
      <c r="CM45" s="42"/>
      <c r="CN45" s="9"/>
      <c r="CO45" s="13">
        <f t="shared" si="27"/>
        <v>0</v>
      </c>
      <c r="CP45" s="42"/>
      <c r="CQ45" s="9"/>
      <c r="CR45" s="13">
        <f t="shared" si="28"/>
        <v>0</v>
      </c>
      <c r="CS45" s="42"/>
      <c r="CT45" s="9"/>
      <c r="CU45" s="13">
        <f t="shared" si="29"/>
        <v>0</v>
      </c>
      <c r="CV45" s="42"/>
      <c r="CW45" s="9"/>
      <c r="CX45" s="13">
        <f t="shared" si="30"/>
        <v>0</v>
      </c>
      <c r="CY45" s="42"/>
      <c r="CZ45" s="9"/>
      <c r="DA45" s="13">
        <f t="shared" si="31"/>
        <v>0</v>
      </c>
      <c r="DB45" s="42"/>
    </row>
    <row r="46" spans="1:106" hidden="1" x14ac:dyDescent="0.35">
      <c r="A46" s="54">
        <v>10310199</v>
      </c>
      <c r="B46" s="54" t="s">
        <v>37</v>
      </c>
      <c r="C46" s="47">
        <v>48</v>
      </c>
      <c r="D46" s="46">
        <v>10</v>
      </c>
      <c r="E46" s="48">
        <v>8100</v>
      </c>
      <c r="F46" s="52">
        <v>240</v>
      </c>
      <c r="G46" s="48" t="s">
        <v>5</v>
      </c>
      <c r="H46" s="26"/>
      <c r="I46" s="20"/>
      <c r="J46" s="20"/>
      <c r="K46" s="41"/>
      <c r="L46" s="41"/>
      <c r="M46" s="20">
        <f t="shared" si="0"/>
        <v>0</v>
      </c>
      <c r="N46" s="20">
        <f t="shared" si="1"/>
        <v>0</v>
      </c>
      <c r="O46" s="26">
        <f>Q46+T46+W46+Z46+AC46+AF46+AL46+AI46+AO46+AR46+AU46+AX46+BA46+BD46+BG46+BJ46+BM46+BP46+BS46+BV46+BY46+CB46+CE46+CH46+CK46+CN46+CQ46+CT46+CW46</f>
        <v>0</v>
      </c>
      <c r="P46" s="26">
        <f t="shared" si="35"/>
        <v>0</v>
      </c>
      <c r="Q46" s="3"/>
      <c r="R46" s="27">
        <f t="shared" si="34"/>
        <v>0</v>
      </c>
      <c r="S46" s="42"/>
      <c r="T46" s="3"/>
      <c r="U46" s="27">
        <f t="shared" si="4"/>
        <v>0</v>
      </c>
      <c r="V46" s="42"/>
      <c r="W46" s="2"/>
      <c r="X46" s="27">
        <f>(W46*D46)/1000</f>
        <v>0</v>
      </c>
      <c r="Y46" s="42"/>
      <c r="Z46" s="1"/>
      <c r="AA46" s="13">
        <f>(Z46*D46)/1000</f>
        <v>0</v>
      </c>
      <c r="AB46" s="42"/>
      <c r="AC46" s="3"/>
      <c r="AD46" s="13">
        <f t="shared" si="7"/>
        <v>0</v>
      </c>
      <c r="AE46" s="42"/>
      <c r="AF46" s="3"/>
      <c r="AG46" s="13">
        <f t="shared" si="8"/>
        <v>0</v>
      </c>
      <c r="AH46" s="42"/>
      <c r="AI46" s="6"/>
      <c r="AJ46" s="13">
        <f t="shared" si="9"/>
        <v>0</v>
      </c>
      <c r="AK46" s="42"/>
      <c r="AL46" s="7"/>
      <c r="AM46" s="13">
        <f t="shared" si="33"/>
        <v>0</v>
      </c>
      <c r="AN46" s="42"/>
      <c r="AO46" s="9"/>
      <c r="AP46" s="13">
        <f t="shared" si="10"/>
        <v>0</v>
      </c>
      <c r="AQ46" s="42"/>
      <c r="AR46" s="9"/>
      <c r="AS46" s="13">
        <f t="shared" si="11"/>
        <v>0</v>
      </c>
      <c r="AT46" s="42"/>
      <c r="AU46" s="9"/>
      <c r="AV46" s="13">
        <f t="shared" si="12"/>
        <v>0</v>
      </c>
      <c r="AW46" s="42"/>
      <c r="AX46" s="9"/>
      <c r="AY46" s="13">
        <f t="shared" si="13"/>
        <v>0</v>
      </c>
      <c r="AZ46" s="42"/>
      <c r="BA46" s="9"/>
      <c r="BB46" s="13">
        <f t="shared" si="14"/>
        <v>0</v>
      </c>
      <c r="BC46" s="42"/>
      <c r="BD46" s="9"/>
      <c r="BE46" s="13">
        <f t="shared" si="15"/>
        <v>0</v>
      </c>
      <c r="BF46" s="42"/>
      <c r="BG46" s="9"/>
      <c r="BH46" s="13">
        <f t="shared" si="16"/>
        <v>0</v>
      </c>
      <c r="BI46" s="42"/>
      <c r="BJ46" s="9"/>
      <c r="BK46" s="13">
        <f t="shared" si="17"/>
        <v>0</v>
      </c>
      <c r="BL46" s="42"/>
      <c r="BM46" s="9"/>
      <c r="BN46" s="13">
        <f t="shared" si="18"/>
        <v>0</v>
      </c>
      <c r="BO46" s="42"/>
      <c r="BP46" s="9"/>
      <c r="BQ46" s="13">
        <f t="shared" si="19"/>
        <v>0</v>
      </c>
      <c r="BR46" s="42"/>
      <c r="BS46" s="9"/>
      <c r="BT46" s="13">
        <f t="shared" si="20"/>
        <v>0</v>
      </c>
      <c r="BU46" s="42"/>
      <c r="BV46" s="9"/>
      <c r="BW46" s="13">
        <f t="shared" si="21"/>
        <v>0</v>
      </c>
      <c r="BX46" s="42"/>
      <c r="BY46" s="9"/>
      <c r="BZ46" s="13">
        <f t="shared" si="22"/>
        <v>0</v>
      </c>
      <c r="CA46" s="42"/>
      <c r="CB46" s="9"/>
      <c r="CC46" s="13">
        <f t="shared" si="23"/>
        <v>0</v>
      </c>
      <c r="CD46" s="42"/>
      <c r="CE46" s="9"/>
      <c r="CF46" s="13">
        <f t="shared" si="24"/>
        <v>0</v>
      </c>
      <c r="CG46" s="42"/>
      <c r="CH46" s="9"/>
      <c r="CI46" s="13">
        <f t="shared" si="25"/>
        <v>0</v>
      </c>
      <c r="CJ46" s="42"/>
      <c r="CK46" s="9"/>
      <c r="CL46" s="13">
        <f t="shared" si="26"/>
        <v>0</v>
      </c>
      <c r="CM46" s="42"/>
      <c r="CN46" s="9"/>
      <c r="CO46" s="13">
        <f t="shared" si="27"/>
        <v>0</v>
      </c>
      <c r="CP46" s="42"/>
      <c r="CQ46" s="9"/>
      <c r="CR46" s="13">
        <f t="shared" si="28"/>
        <v>0</v>
      </c>
      <c r="CS46" s="42"/>
      <c r="CT46" s="9"/>
      <c r="CU46" s="13">
        <f t="shared" si="29"/>
        <v>0</v>
      </c>
      <c r="CV46" s="42"/>
      <c r="CW46" s="9"/>
      <c r="CX46" s="13">
        <f t="shared" si="30"/>
        <v>0</v>
      </c>
      <c r="CY46" s="42"/>
      <c r="CZ46" s="9"/>
      <c r="DA46" s="13">
        <f t="shared" si="31"/>
        <v>0</v>
      </c>
      <c r="DB46" s="42"/>
    </row>
    <row r="47" spans="1:106" hidden="1" x14ac:dyDescent="0.35">
      <c r="A47" s="54">
        <v>10310210</v>
      </c>
      <c r="B47" s="54" t="s">
        <v>66</v>
      </c>
      <c r="C47" s="47">
        <v>48</v>
      </c>
      <c r="D47" s="46">
        <v>10</v>
      </c>
      <c r="E47" s="48">
        <v>8100</v>
      </c>
      <c r="F47" s="52">
        <v>144</v>
      </c>
      <c r="G47" s="48" t="s">
        <v>64</v>
      </c>
      <c r="H47" s="26"/>
      <c r="I47" s="20"/>
      <c r="J47" s="20"/>
      <c r="K47" s="41"/>
      <c r="L47" s="41"/>
      <c r="M47" s="20">
        <f t="shared" si="0"/>
        <v>0</v>
      </c>
      <c r="N47" s="20">
        <f t="shared" si="1"/>
        <v>0</v>
      </c>
      <c r="O47" s="26">
        <f t="shared" si="32"/>
        <v>0</v>
      </c>
      <c r="P47" s="26">
        <f t="shared" si="35"/>
        <v>0</v>
      </c>
      <c r="Q47" s="3"/>
      <c r="R47" s="27">
        <f t="shared" si="34"/>
        <v>0</v>
      </c>
      <c r="S47" s="42"/>
      <c r="T47" s="3"/>
      <c r="U47" s="27">
        <f t="shared" si="4"/>
        <v>0</v>
      </c>
      <c r="V47" s="42"/>
      <c r="W47" s="3"/>
      <c r="X47" s="27">
        <f t="shared" si="5"/>
        <v>0</v>
      </c>
      <c r="Y47" s="42"/>
      <c r="Z47" s="3"/>
      <c r="AA47" s="13">
        <f t="shared" si="6"/>
        <v>0</v>
      </c>
      <c r="AB47" s="42"/>
      <c r="AC47" s="2"/>
      <c r="AD47" s="13">
        <f t="shared" si="7"/>
        <v>0</v>
      </c>
      <c r="AE47" s="42"/>
      <c r="AF47" s="3"/>
      <c r="AG47" s="13">
        <f t="shared" si="8"/>
        <v>0</v>
      </c>
      <c r="AH47" s="42"/>
      <c r="AI47" s="6"/>
      <c r="AJ47" s="13">
        <f t="shared" si="9"/>
        <v>0</v>
      </c>
      <c r="AK47" s="42"/>
      <c r="AL47" s="7"/>
      <c r="AM47" s="13">
        <f t="shared" si="33"/>
        <v>0</v>
      </c>
      <c r="AN47" s="42"/>
      <c r="AO47" s="9"/>
      <c r="AP47" s="13">
        <f t="shared" si="10"/>
        <v>0</v>
      </c>
      <c r="AQ47" s="42"/>
      <c r="AR47" s="9"/>
      <c r="AS47" s="13">
        <f t="shared" si="11"/>
        <v>0</v>
      </c>
      <c r="AT47" s="42"/>
      <c r="AU47" s="9"/>
      <c r="AV47" s="13">
        <f t="shared" si="12"/>
        <v>0</v>
      </c>
      <c r="AW47" s="42"/>
      <c r="AX47" s="9"/>
      <c r="AY47" s="13">
        <f t="shared" si="13"/>
        <v>0</v>
      </c>
      <c r="AZ47" s="42"/>
      <c r="BA47" s="24"/>
      <c r="BB47" s="13">
        <f t="shared" si="14"/>
        <v>0</v>
      </c>
      <c r="BC47" s="42"/>
      <c r="BD47" s="9"/>
      <c r="BE47" s="13">
        <f t="shared" si="15"/>
        <v>0</v>
      </c>
      <c r="BF47" s="42"/>
      <c r="BG47" s="9"/>
      <c r="BH47" s="13">
        <f t="shared" si="16"/>
        <v>0</v>
      </c>
      <c r="BI47" s="42"/>
      <c r="BJ47" s="9"/>
      <c r="BK47" s="13">
        <f t="shared" si="17"/>
        <v>0</v>
      </c>
      <c r="BL47" s="42"/>
      <c r="BM47" s="9"/>
      <c r="BN47" s="13">
        <f t="shared" si="18"/>
        <v>0</v>
      </c>
      <c r="BO47" s="42"/>
      <c r="BP47" s="9"/>
      <c r="BQ47" s="13">
        <f t="shared" si="19"/>
        <v>0</v>
      </c>
      <c r="BR47" s="42"/>
      <c r="BS47" s="9"/>
      <c r="BT47" s="13">
        <f t="shared" si="20"/>
        <v>0</v>
      </c>
      <c r="BU47" s="42"/>
      <c r="BV47" s="9"/>
      <c r="BW47" s="13">
        <f t="shared" si="21"/>
        <v>0</v>
      </c>
      <c r="BX47" s="42"/>
      <c r="BY47" s="9"/>
      <c r="BZ47" s="13">
        <f t="shared" si="22"/>
        <v>0</v>
      </c>
      <c r="CA47" s="42"/>
      <c r="CB47" s="9"/>
      <c r="CC47" s="13">
        <f t="shared" si="23"/>
        <v>0</v>
      </c>
      <c r="CD47" s="42"/>
      <c r="CE47" s="9"/>
      <c r="CF47" s="13">
        <f t="shared" si="24"/>
        <v>0</v>
      </c>
      <c r="CG47" s="42"/>
      <c r="CH47" s="9"/>
      <c r="CI47" s="13">
        <f t="shared" si="25"/>
        <v>0</v>
      </c>
      <c r="CJ47" s="42"/>
      <c r="CK47" s="9"/>
      <c r="CL47" s="13">
        <f t="shared" si="26"/>
        <v>0</v>
      </c>
      <c r="CM47" s="42"/>
      <c r="CN47" s="9"/>
      <c r="CO47" s="13">
        <f t="shared" si="27"/>
        <v>0</v>
      </c>
      <c r="CP47" s="42"/>
      <c r="CQ47" s="9"/>
      <c r="CR47" s="13">
        <f t="shared" si="28"/>
        <v>0</v>
      </c>
      <c r="CS47" s="42"/>
      <c r="CT47" s="9"/>
      <c r="CU47" s="13">
        <f t="shared" si="29"/>
        <v>0</v>
      </c>
      <c r="CV47" s="42"/>
      <c r="CW47" s="9"/>
      <c r="CX47" s="13">
        <f t="shared" si="30"/>
        <v>0</v>
      </c>
      <c r="CY47" s="42"/>
      <c r="CZ47" s="9"/>
      <c r="DA47" s="13">
        <f t="shared" si="31"/>
        <v>0</v>
      </c>
      <c r="DB47" s="42"/>
    </row>
    <row r="48" spans="1:106" hidden="1" x14ac:dyDescent="0.35">
      <c r="A48" s="54">
        <v>10310212</v>
      </c>
      <c r="B48" s="54" t="s">
        <v>67</v>
      </c>
      <c r="C48" s="47">
        <v>48</v>
      </c>
      <c r="D48" s="46">
        <v>10</v>
      </c>
      <c r="E48" s="48">
        <v>8100</v>
      </c>
      <c r="F48" s="52">
        <v>144</v>
      </c>
      <c r="G48" s="48" t="s">
        <v>65</v>
      </c>
      <c r="H48" s="26"/>
      <c r="I48" s="20"/>
      <c r="J48" s="20"/>
      <c r="K48" s="41"/>
      <c r="L48" s="41"/>
      <c r="M48" s="20">
        <f t="shared" si="0"/>
        <v>0</v>
      </c>
      <c r="N48" s="20">
        <f t="shared" si="1"/>
        <v>0</v>
      </c>
      <c r="O48" s="26">
        <f t="shared" si="32"/>
        <v>0</v>
      </c>
      <c r="P48" s="26">
        <f t="shared" si="35"/>
        <v>0</v>
      </c>
      <c r="Q48" s="3"/>
      <c r="R48" s="27">
        <f t="shared" si="34"/>
        <v>0</v>
      </c>
      <c r="S48" s="42"/>
      <c r="T48" s="3"/>
      <c r="U48" s="27">
        <f t="shared" si="4"/>
        <v>0</v>
      </c>
      <c r="V48" s="42"/>
      <c r="W48" s="3"/>
      <c r="X48" s="27">
        <f t="shared" si="5"/>
        <v>0</v>
      </c>
      <c r="Y48" s="42"/>
      <c r="Z48" s="3"/>
      <c r="AA48" s="13">
        <f t="shared" si="6"/>
        <v>0</v>
      </c>
      <c r="AB48" s="42"/>
      <c r="AC48" s="2"/>
      <c r="AD48" s="13">
        <f t="shared" si="7"/>
        <v>0</v>
      </c>
      <c r="AE48" s="42"/>
      <c r="AF48" s="3"/>
      <c r="AG48" s="13">
        <f t="shared" si="8"/>
        <v>0</v>
      </c>
      <c r="AH48" s="42"/>
      <c r="AI48" s="3"/>
      <c r="AJ48" s="13">
        <f t="shared" si="9"/>
        <v>0</v>
      </c>
      <c r="AK48" s="42"/>
      <c r="AL48" s="7"/>
      <c r="AM48" s="13">
        <f t="shared" si="33"/>
        <v>0</v>
      </c>
      <c r="AN48" s="42"/>
      <c r="AO48" s="9"/>
      <c r="AP48" s="13">
        <f t="shared" si="10"/>
        <v>0</v>
      </c>
      <c r="AQ48" s="42"/>
      <c r="AR48" s="9"/>
      <c r="AS48" s="13">
        <f t="shared" si="11"/>
        <v>0</v>
      </c>
      <c r="AT48" s="42"/>
      <c r="AU48" s="9"/>
      <c r="AV48" s="13">
        <f t="shared" si="12"/>
        <v>0</v>
      </c>
      <c r="AW48" s="42"/>
      <c r="AX48" s="9"/>
      <c r="AY48" s="13">
        <f t="shared" si="13"/>
        <v>0</v>
      </c>
      <c r="AZ48" s="42"/>
      <c r="BA48" s="24"/>
      <c r="BB48" s="13">
        <f t="shared" si="14"/>
        <v>0</v>
      </c>
      <c r="BC48" s="42"/>
      <c r="BD48" s="9"/>
      <c r="BE48" s="13">
        <f t="shared" si="15"/>
        <v>0</v>
      </c>
      <c r="BF48" s="42"/>
      <c r="BG48" s="9"/>
      <c r="BH48" s="13">
        <f t="shared" si="16"/>
        <v>0</v>
      </c>
      <c r="BI48" s="42"/>
      <c r="BJ48" s="9"/>
      <c r="BK48" s="13">
        <f t="shared" si="17"/>
        <v>0</v>
      </c>
      <c r="BL48" s="42"/>
      <c r="BM48" s="9"/>
      <c r="BN48" s="13">
        <f t="shared" si="18"/>
        <v>0</v>
      </c>
      <c r="BO48" s="42"/>
      <c r="BP48" s="9"/>
      <c r="BQ48" s="13">
        <f t="shared" si="19"/>
        <v>0</v>
      </c>
      <c r="BR48" s="42"/>
      <c r="BS48" s="9"/>
      <c r="BT48" s="13">
        <f t="shared" si="20"/>
        <v>0</v>
      </c>
      <c r="BU48" s="42"/>
      <c r="BV48" s="9"/>
      <c r="BW48" s="13">
        <f t="shared" si="21"/>
        <v>0</v>
      </c>
      <c r="BX48" s="42"/>
      <c r="BY48" s="9"/>
      <c r="BZ48" s="13">
        <f t="shared" si="22"/>
        <v>0</v>
      </c>
      <c r="CA48" s="42"/>
      <c r="CB48" s="9"/>
      <c r="CC48" s="13">
        <f t="shared" si="23"/>
        <v>0</v>
      </c>
      <c r="CD48" s="42"/>
      <c r="CE48" s="9"/>
      <c r="CF48" s="13">
        <f t="shared" si="24"/>
        <v>0</v>
      </c>
      <c r="CG48" s="42"/>
      <c r="CH48" s="9"/>
      <c r="CI48" s="13">
        <f t="shared" si="25"/>
        <v>0</v>
      </c>
      <c r="CJ48" s="42"/>
      <c r="CK48" s="9"/>
      <c r="CL48" s="13">
        <f t="shared" si="26"/>
        <v>0</v>
      </c>
      <c r="CM48" s="42"/>
      <c r="CN48" s="9"/>
      <c r="CO48" s="13">
        <f t="shared" si="27"/>
        <v>0</v>
      </c>
      <c r="CP48" s="42"/>
      <c r="CQ48" s="9"/>
      <c r="CR48" s="13">
        <f t="shared" si="28"/>
        <v>0</v>
      </c>
      <c r="CS48" s="42"/>
      <c r="CT48" s="9"/>
      <c r="CU48" s="13">
        <f t="shared" si="29"/>
        <v>0</v>
      </c>
      <c r="CV48" s="42"/>
      <c r="CW48" s="9"/>
      <c r="CX48" s="13">
        <f t="shared" si="30"/>
        <v>0</v>
      </c>
      <c r="CY48" s="42"/>
      <c r="CZ48" s="9"/>
      <c r="DA48" s="13">
        <f t="shared" si="31"/>
        <v>0</v>
      </c>
      <c r="DB48" s="42"/>
    </row>
    <row r="49" spans="1:106" hidden="1" x14ac:dyDescent="0.35">
      <c r="A49" s="54">
        <v>10310234</v>
      </c>
      <c r="B49" s="54" t="s">
        <v>68</v>
      </c>
      <c r="C49" s="47">
        <v>48</v>
      </c>
      <c r="D49" s="46">
        <v>10</v>
      </c>
      <c r="E49" s="48">
        <v>8100</v>
      </c>
      <c r="F49" s="52">
        <v>240</v>
      </c>
      <c r="G49" s="48" t="s">
        <v>69</v>
      </c>
      <c r="H49" s="26"/>
      <c r="I49" s="20"/>
      <c r="J49" s="20"/>
      <c r="K49" s="41"/>
      <c r="L49" s="41"/>
      <c r="M49" s="20">
        <f t="shared" si="0"/>
        <v>0</v>
      </c>
      <c r="N49" s="20">
        <f t="shared" si="1"/>
        <v>0</v>
      </c>
      <c r="O49" s="26">
        <f>Q49+T49+W49+Z49+AC49+AF49+AL49+AI49+AO49+AR49+AU49+AX49+BA49+BD49+BG49+BJ49+BM49+BP49+BS49+BV49+BY49+CB49+CE49+CH49+CK49+CN49+CQ49+CT49+CW49</f>
        <v>0</v>
      </c>
      <c r="P49" s="26">
        <f t="shared" si="35"/>
        <v>0</v>
      </c>
      <c r="Q49" s="3"/>
      <c r="R49" s="27">
        <f t="shared" si="34"/>
        <v>0</v>
      </c>
      <c r="S49" s="42"/>
      <c r="T49" s="3"/>
      <c r="U49" s="27">
        <f t="shared" si="4"/>
        <v>0</v>
      </c>
      <c r="V49" s="42"/>
      <c r="W49" s="3"/>
      <c r="X49" s="27">
        <f t="shared" si="5"/>
        <v>0</v>
      </c>
      <c r="Y49" s="42"/>
      <c r="Z49" s="3"/>
      <c r="AA49" s="13">
        <f t="shared" si="6"/>
        <v>0</v>
      </c>
      <c r="AB49" s="42"/>
      <c r="AC49" s="2"/>
      <c r="AD49" s="13">
        <f t="shared" si="7"/>
        <v>0</v>
      </c>
      <c r="AE49" s="42"/>
      <c r="AF49" s="3"/>
      <c r="AG49" s="13">
        <f t="shared" si="8"/>
        <v>0</v>
      </c>
      <c r="AH49" s="42"/>
      <c r="AI49" s="3"/>
      <c r="AJ49" s="13">
        <f t="shared" si="9"/>
        <v>0</v>
      </c>
      <c r="AK49" s="42"/>
      <c r="AL49" s="7"/>
      <c r="AM49" s="13">
        <f t="shared" si="33"/>
        <v>0</v>
      </c>
      <c r="AN49" s="42"/>
      <c r="AO49" s="9"/>
      <c r="AP49" s="13">
        <f t="shared" si="10"/>
        <v>0</v>
      </c>
      <c r="AQ49" s="42"/>
      <c r="AR49" s="9"/>
      <c r="AS49" s="13">
        <f t="shared" si="11"/>
        <v>0</v>
      </c>
      <c r="AT49" s="42"/>
      <c r="AU49" s="9"/>
      <c r="AV49" s="13">
        <f>(AU49*D49)/1000</f>
        <v>0</v>
      </c>
      <c r="AW49" s="42"/>
      <c r="AX49" s="9"/>
      <c r="AY49" s="13">
        <f t="shared" si="13"/>
        <v>0</v>
      </c>
      <c r="AZ49" s="42"/>
      <c r="BA49" s="24"/>
      <c r="BB49" s="13">
        <f t="shared" si="14"/>
        <v>0</v>
      </c>
      <c r="BC49" s="42"/>
      <c r="BD49" s="9"/>
      <c r="BE49" s="13">
        <f t="shared" si="15"/>
        <v>0</v>
      </c>
      <c r="BF49" s="42"/>
      <c r="BG49" s="9"/>
      <c r="BH49" s="13">
        <f t="shared" si="16"/>
        <v>0</v>
      </c>
      <c r="BI49" s="42"/>
      <c r="BJ49" s="9"/>
      <c r="BK49" s="13">
        <f t="shared" si="17"/>
        <v>0</v>
      </c>
      <c r="BL49" s="42"/>
      <c r="BM49" s="9"/>
      <c r="BN49" s="13">
        <f t="shared" si="18"/>
        <v>0</v>
      </c>
      <c r="BO49" s="42"/>
      <c r="BP49" s="9"/>
      <c r="BQ49" s="13">
        <f t="shared" si="19"/>
        <v>0</v>
      </c>
      <c r="BR49" s="42"/>
      <c r="BS49" s="9"/>
      <c r="BT49" s="13">
        <f t="shared" si="20"/>
        <v>0</v>
      </c>
      <c r="BU49" s="42"/>
      <c r="BV49" s="9"/>
      <c r="BW49" s="13">
        <f t="shared" si="21"/>
        <v>0</v>
      </c>
      <c r="BX49" s="42"/>
      <c r="BY49" s="9"/>
      <c r="BZ49" s="13">
        <f t="shared" si="22"/>
        <v>0</v>
      </c>
      <c r="CA49" s="42"/>
      <c r="CB49" s="9"/>
      <c r="CC49" s="13">
        <f t="shared" si="23"/>
        <v>0</v>
      </c>
      <c r="CD49" s="42"/>
      <c r="CE49" s="9"/>
      <c r="CF49" s="13">
        <f t="shared" si="24"/>
        <v>0</v>
      </c>
      <c r="CG49" s="42"/>
      <c r="CH49" s="9"/>
      <c r="CI49" s="13">
        <f t="shared" si="25"/>
        <v>0</v>
      </c>
      <c r="CJ49" s="42"/>
      <c r="CK49" s="9"/>
      <c r="CL49" s="13">
        <f t="shared" si="26"/>
        <v>0</v>
      </c>
      <c r="CM49" s="42"/>
      <c r="CN49" s="9"/>
      <c r="CO49" s="13">
        <f t="shared" si="27"/>
        <v>0</v>
      </c>
      <c r="CP49" s="42"/>
      <c r="CQ49" s="9"/>
      <c r="CR49" s="13">
        <f t="shared" si="28"/>
        <v>0</v>
      </c>
      <c r="CS49" s="42"/>
      <c r="CT49" s="9"/>
      <c r="CU49" s="13">
        <f t="shared" si="29"/>
        <v>0</v>
      </c>
      <c r="CV49" s="42"/>
      <c r="CW49" s="9"/>
      <c r="CX49" s="13">
        <f t="shared" si="30"/>
        <v>0</v>
      </c>
      <c r="CY49" s="42"/>
      <c r="CZ49" s="9"/>
      <c r="DA49" s="13">
        <f t="shared" si="31"/>
        <v>0</v>
      </c>
      <c r="DB49" s="42"/>
    </row>
    <row r="50" spans="1:106" hidden="1" x14ac:dyDescent="0.35">
      <c r="A50" s="54">
        <v>10310269</v>
      </c>
      <c r="B50" s="54" t="s">
        <v>70</v>
      </c>
      <c r="C50" s="47">
        <v>70</v>
      </c>
      <c r="D50" s="46">
        <v>10</v>
      </c>
      <c r="E50" s="48">
        <v>8101</v>
      </c>
      <c r="F50" s="52">
        <v>15190</v>
      </c>
      <c r="G50" s="48" t="s">
        <v>71</v>
      </c>
      <c r="H50" s="26"/>
      <c r="I50" s="20"/>
      <c r="J50" s="20"/>
      <c r="K50" s="41"/>
      <c r="L50" s="41"/>
      <c r="M50" s="20">
        <f t="shared" si="0"/>
        <v>0</v>
      </c>
      <c r="N50" s="20">
        <f t="shared" si="1"/>
        <v>0</v>
      </c>
      <c r="O50" s="26">
        <f>Q50+T50+W50+Z50+AC50+AF50+AL50+AI50+AO50+AR50+AU50+AX50+BA50+BD50+BG50+BJ50+BM50+BP50+BS50+BV50+BY50+CB50+CE50+CH50+CK50+CN50+CQ50+CT50+CW50</f>
        <v>0</v>
      </c>
      <c r="P50" s="26">
        <f t="shared" si="35"/>
        <v>0</v>
      </c>
      <c r="Q50" s="3"/>
      <c r="R50" s="27">
        <f t="shared" si="34"/>
        <v>0</v>
      </c>
      <c r="S50" s="42"/>
      <c r="T50" s="3"/>
      <c r="U50" s="27">
        <f t="shared" ref="U50:U56" si="36">(T50*D50)/1000</f>
        <v>0</v>
      </c>
      <c r="V50" s="42"/>
      <c r="W50" s="3"/>
      <c r="X50" s="27">
        <f t="shared" si="5"/>
        <v>0</v>
      </c>
      <c r="Y50" s="42"/>
      <c r="Z50" s="3"/>
      <c r="AA50" s="13">
        <f t="shared" si="6"/>
        <v>0</v>
      </c>
      <c r="AB50" s="42"/>
      <c r="AC50" s="2"/>
      <c r="AD50" s="13">
        <f t="shared" si="7"/>
        <v>0</v>
      </c>
      <c r="AE50" s="42"/>
      <c r="AF50" s="3"/>
      <c r="AG50" s="13">
        <f t="shared" si="8"/>
        <v>0</v>
      </c>
      <c r="AH50" s="42"/>
      <c r="AI50" s="6"/>
      <c r="AJ50" s="13">
        <f t="shared" ref="AJ50:AJ56" si="37">(AI50*D50)/1000</f>
        <v>0</v>
      </c>
      <c r="AK50" s="42"/>
      <c r="AL50" s="7"/>
      <c r="AM50" s="13">
        <f t="shared" ref="AM50:AM56" si="38">(AL50*D50)/1000</f>
        <v>0</v>
      </c>
      <c r="AN50" s="42"/>
      <c r="AO50" s="9"/>
      <c r="AP50" s="13">
        <f t="shared" ref="AP50:AP56" si="39">(AO50*D50)/1000</f>
        <v>0</v>
      </c>
      <c r="AQ50" s="42"/>
      <c r="AR50" s="9"/>
      <c r="AS50" s="13">
        <f t="shared" ref="AS50:AS56" si="40">(AR50*D50)/1000</f>
        <v>0</v>
      </c>
      <c r="AT50" s="42"/>
      <c r="AU50" s="6"/>
      <c r="AV50" s="13">
        <f>(AU50*D50)/1000</f>
        <v>0</v>
      </c>
      <c r="AW50" s="42"/>
      <c r="AX50" s="9"/>
      <c r="AY50" s="13">
        <f t="shared" ref="AY50:AY56" si="41">(AX50*D50)/1000</f>
        <v>0</v>
      </c>
      <c r="AZ50" s="42"/>
      <c r="BA50" s="24"/>
      <c r="BB50" s="13">
        <f t="shared" ref="BB50:BB56" si="42">(BA50*D50)/1000</f>
        <v>0</v>
      </c>
      <c r="BC50" s="42"/>
      <c r="BD50" s="9"/>
      <c r="BE50" s="13">
        <f t="shared" ref="BE50:BE56" si="43">(BD50*D50)/1000</f>
        <v>0</v>
      </c>
      <c r="BF50" s="42"/>
      <c r="BG50" s="9"/>
      <c r="BH50" s="13">
        <f t="shared" ref="BH50:BH56" si="44">(BG50*D50)/1000</f>
        <v>0</v>
      </c>
      <c r="BI50" s="42"/>
      <c r="BJ50" s="9"/>
      <c r="BK50" s="13">
        <f t="shared" ref="BK50:BK56" si="45">(BJ50*D50)/1000</f>
        <v>0</v>
      </c>
      <c r="BL50" s="42"/>
      <c r="BM50" s="9"/>
      <c r="BN50" s="13">
        <f t="shared" ref="BN50:BN56" si="46">(BM50*D50)/1000</f>
        <v>0</v>
      </c>
      <c r="BO50" s="42"/>
      <c r="BP50" s="9"/>
      <c r="BQ50" s="13">
        <f t="shared" ref="BQ50:BQ56" si="47">(BP50*D50)/1000</f>
        <v>0</v>
      </c>
      <c r="BR50" s="42"/>
      <c r="BS50" s="9"/>
      <c r="BT50" s="13">
        <f t="shared" ref="BT50:BT56" si="48">(BS50*D50)/1000</f>
        <v>0</v>
      </c>
      <c r="BU50" s="42"/>
      <c r="BV50" s="9"/>
      <c r="BW50" s="13">
        <f t="shared" ref="BW50:BW56" si="49">(BV50*D50)/1000</f>
        <v>0</v>
      </c>
      <c r="BX50" s="42"/>
      <c r="BY50" s="9"/>
      <c r="BZ50" s="13">
        <f t="shared" ref="BZ50:BZ56" si="50">(BY50*D50)/1000</f>
        <v>0</v>
      </c>
      <c r="CA50" s="42"/>
      <c r="CB50" s="9"/>
      <c r="CC50" s="13">
        <f t="shared" ref="CC50:CC56" si="51">(CB50*D50)/1000</f>
        <v>0</v>
      </c>
      <c r="CD50" s="42"/>
      <c r="CE50" s="9"/>
      <c r="CF50" s="13">
        <f t="shared" ref="CF50:CF56" si="52">(CE50*D50)/1000</f>
        <v>0</v>
      </c>
      <c r="CG50" s="42"/>
      <c r="CH50" s="9"/>
      <c r="CI50" s="13">
        <f t="shared" ref="CI50:CI56" si="53">(CH50*D50)/1000</f>
        <v>0</v>
      </c>
      <c r="CJ50" s="42"/>
      <c r="CK50" s="9"/>
      <c r="CL50" s="13">
        <f t="shared" ref="CL50:CL56" si="54">(CK50*D50)/1000</f>
        <v>0</v>
      </c>
      <c r="CM50" s="42"/>
      <c r="CN50" s="9"/>
      <c r="CO50" s="13">
        <f t="shared" ref="CO50:CO56" si="55">(CN50*D50)/1000</f>
        <v>0</v>
      </c>
      <c r="CP50" s="42"/>
      <c r="CQ50" s="9"/>
      <c r="CR50" s="13">
        <f t="shared" ref="CR50:CR56" si="56">(CQ50*D50)/1000</f>
        <v>0</v>
      </c>
      <c r="CS50" s="42"/>
      <c r="CT50" s="9"/>
      <c r="CU50" s="13">
        <f t="shared" ref="CU50:CU56" si="57">(CT50*D50)/1000</f>
        <v>0</v>
      </c>
      <c r="CV50" s="42"/>
      <c r="CW50" s="9"/>
      <c r="CX50" s="13">
        <f t="shared" ref="CX50:CX56" si="58">(CW50*D50)/1000</f>
        <v>0</v>
      </c>
      <c r="CY50" s="42"/>
      <c r="CZ50" s="9"/>
      <c r="DA50" s="13">
        <f t="shared" ref="DA50:DA56" si="59">(CZ50*D50)/1000</f>
        <v>0</v>
      </c>
      <c r="DB50" s="42"/>
    </row>
    <row r="51" spans="1:106" s="8" customFormat="1" hidden="1" x14ac:dyDescent="0.35">
      <c r="A51" s="54">
        <v>10310253</v>
      </c>
      <c r="B51" s="54" t="s">
        <v>19</v>
      </c>
      <c r="C51" s="50">
        <v>80</v>
      </c>
      <c r="D51" s="46">
        <v>14</v>
      </c>
      <c r="E51" s="48">
        <v>16800</v>
      </c>
      <c r="F51" s="52"/>
      <c r="G51" s="48" t="s">
        <v>1</v>
      </c>
      <c r="H51" s="26"/>
      <c r="I51" s="20"/>
      <c r="J51" s="20"/>
      <c r="K51" s="41"/>
      <c r="L51" s="41"/>
      <c r="M51" s="20">
        <f t="shared" si="0"/>
        <v>0</v>
      </c>
      <c r="N51" s="20">
        <f t="shared" si="1"/>
        <v>0</v>
      </c>
      <c r="O51" s="26">
        <f t="shared" ref="O51:O53" si="60">Q51+T51+W51+Z51+AC51+AF51+AL51+AI51+AO51+AR51+AU51+AX51+BA51+BD51+BG51+BJ51+BM51+BP51+BS51+BV51+BY51+CB51+CE51+CH51+CK51+CN51+CQ51+CT51+CW51</f>
        <v>0</v>
      </c>
      <c r="P51" s="26">
        <f t="shared" si="35"/>
        <v>0</v>
      </c>
      <c r="Q51" s="2"/>
      <c r="R51" s="13">
        <f t="shared" si="34"/>
        <v>0</v>
      </c>
      <c r="S51" s="42"/>
      <c r="T51" s="2"/>
      <c r="U51" s="13">
        <f t="shared" si="36"/>
        <v>0</v>
      </c>
      <c r="V51" s="42"/>
      <c r="W51" s="2"/>
      <c r="X51" s="13">
        <f t="shared" ref="X51:X56" si="61">(W51*D51)/1000</f>
        <v>0</v>
      </c>
      <c r="Y51" s="42"/>
      <c r="Z51" s="2"/>
      <c r="AA51" s="13">
        <f t="shared" ref="AA51:AA52" si="62">(Z51*D51)/1000</f>
        <v>0</v>
      </c>
      <c r="AB51" s="42"/>
      <c r="AC51" s="3"/>
      <c r="AD51" s="13">
        <f t="shared" si="7"/>
        <v>0</v>
      </c>
      <c r="AE51" s="42"/>
      <c r="AF51" s="2"/>
      <c r="AG51" s="13">
        <f t="shared" si="8"/>
        <v>0</v>
      </c>
      <c r="AH51" s="42"/>
      <c r="AI51" s="7"/>
      <c r="AJ51" s="13">
        <f t="shared" si="37"/>
        <v>0</v>
      </c>
      <c r="AK51" s="42"/>
      <c r="AL51" s="7"/>
      <c r="AM51" s="13">
        <f t="shared" si="38"/>
        <v>0</v>
      </c>
      <c r="AN51" s="42"/>
      <c r="AO51" s="9"/>
      <c r="AP51" s="13">
        <f t="shared" si="39"/>
        <v>0</v>
      </c>
      <c r="AQ51" s="42"/>
      <c r="AR51" s="9"/>
      <c r="AS51" s="13">
        <f t="shared" si="40"/>
        <v>0</v>
      </c>
      <c r="AT51" s="42"/>
      <c r="AU51" s="9"/>
      <c r="AV51" s="13">
        <f t="shared" ref="AV51:AV56" si="63">(AU51*D51)/1000</f>
        <v>0</v>
      </c>
      <c r="AW51" s="42"/>
      <c r="AX51" s="9"/>
      <c r="AY51" s="13">
        <f t="shared" si="41"/>
        <v>0</v>
      </c>
      <c r="AZ51" s="42"/>
      <c r="BA51" s="24"/>
      <c r="BB51" s="13">
        <f t="shared" si="42"/>
        <v>0</v>
      </c>
      <c r="BC51" s="42"/>
      <c r="BD51" s="9"/>
      <c r="BE51" s="13">
        <f t="shared" si="43"/>
        <v>0</v>
      </c>
      <c r="BF51" s="42"/>
      <c r="BG51" s="9"/>
      <c r="BH51" s="13">
        <f t="shared" si="44"/>
        <v>0</v>
      </c>
      <c r="BI51" s="42"/>
      <c r="BJ51" s="9"/>
      <c r="BK51" s="13">
        <f t="shared" si="45"/>
        <v>0</v>
      </c>
      <c r="BL51" s="42"/>
      <c r="BM51" s="9"/>
      <c r="BN51" s="13">
        <f t="shared" si="46"/>
        <v>0</v>
      </c>
      <c r="BO51" s="42"/>
      <c r="BP51" s="9"/>
      <c r="BQ51" s="13">
        <f t="shared" si="47"/>
        <v>0</v>
      </c>
      <c r="BR51" s="42"/>
      <c r="BS51" s="9"/>
      <c r="BT51" s="13">
        <f t="shared" si="48"/>
        <v>0</v>
      </c>
      <c r="BU51" s="42"/>
      <c r="BV51" s="9"/>
      <c r="BW51" s="13">
        <f t="shared" si="49"/>
        <v>0</v>
      </c>
      <c r="BX51" s="42"/>
      <c r="BY51" s="9"/>
      <c r="BZ51" s="13">
        <f t="shared" si="50"/>
        <v>0</v>
      </c>
      <c r="CA51" s="42"/>
      <c r="CB51" s="9"/>
      <c r="CC51" s="13">
        <f t="shared" si="51"/>
        <v>0</v>
      </c>
      <c r="CD51" s="42"/>
      <c r="CE51" s="9"/>
      <c r="CF51" s="13">
        <f t="shared" si="52"/>
        <v>0</v>
      </c>
      <c r="CG51" s="42"/>
      <c r="CH51" s="9"/>
      <c r="CI51" s="13">
        <f t="shared" si="53"/>
        <v>0</v>
      </c>
      <c r="CJ51" s="42"/>
      <c r="CK51" s="9"/>
      <c r="CL51" s="13">
        <f t="shared" si="54"/>
        <v>0</v>
      </c>
      <c r="CM51" s="42"/>
      <c r="CN51" s="9"/>
      <c r="CO51" s="13">
        <f t="shared" si="55"/>
        <v>0</v>
      </c>
      <c r="CP51" s="42"/>
      <c r="CQ51" s="9"/>
      <c r="CR51" s="13">
        <f t="shared" si="56"/>
        <v>0</v>
      </c>
      <c r="CS51" s="42"/>
      <c r="CT51" s="9"/>
      <c r="CU51" s="13">
        <f t="shared" si="57"/>
        <v>0</v>
      </c>
      <c r="CV51" s="42"/>
      <c r="CW51" s="9"/>
      <c r="CX51" s="13">
        <f t="shared" si="58"/>
        <v>0</v>
      </c>
      <c r="CY51" s="42"/>
      <c r="CZ51" s="9"/>
      <c r="DA51" s="13">
        <f t="shared" si="59"/>
        <v>0</v>
      </c>
      <c r="DB51" s="42"/>
    </row>
    <row r="52" spans="1:106" s="8" customFormat="1" hidden="1" x14ac:dyDescent="0.35">
      <c r="A52" s="54">
        <v>10310254</v>
      </c>
      <c r="B52" s="54" t="s">
        <v>20</v>
      </c>
      <c r="C52" s="50">
        <v>80</v>
      </c>
      <c r="D52" s="46">
        <v>14</v>
      </c>
      <c r="E52" s="48">
        <v>16800</v>
      </c>
      <c r="F52" s="52"/>
      <c r="G52" s="48" t="s">
        <v>1</v>
      </c>
      <c r="H52" s="26"/>
      <c r="I52" s="20"/>
      <c r="J52" s="20"/>
      <c r="K52" s="41"/>
      <c r="L52" s="41"/>
      <c r="M52" s="20">
        <f t="shared" si="0"/>
        <v>0</v>
      </c>
      <c r="N52" s="20">
        <f t="shared" si="1"/>
        <v>0</v>
      </c>
      <c r="O52" s="26">
        <f t="shared" si="60"/>
        <v>0</v>
      </c>
      <c r="P52" s="26">
        <f t="shared" si="35"/>
        <v>0</v>
      </c>
      <c r="Q52" s="2"/>
      <c r="R52" s="13">
        <f t="shared" si="34"/>
        <v>0</v>
      </c>
      <c r="S52" s="42"/>
      <c r="T52" s="2"/>
      <c r="U52" s="13">
        <f t="shared" si="36"/>
        <v>0</v>
      </c>
      <c r="V52" s="42"/>
      <c r="W52" s="2"/>
      <c r="X52" s="13">
        <f t="shared" si="61"/>
        <v>0</v>
      </c>
      <c r="Y52" s="42"/>
      <c r="Z52" s="2"/>
      <c r="AA52" s="13">
        <f t="shared" si="62"/>
        <v>0</v>
      </c>
      <c r="AB52" s="42"/>
      <c r="AC52" s="3"/>
      <c r="AD52" s="13">
        <f t="shared" si="7"/>
        <v>0</v>
      </c>
      <c r="AE52" s="42"/>
      <c r="AF52" s="2"/>
      <c r="AG52" s="13">
        <f t="shared" si="8"/>
        <v>0</v>
      </c>
      <c r="AH52" s="42"/>
      <c r="AI52" s="7"/>
      <c r="AJ52" s="13">
        <f t="shared" si="37"/>
        <v>0</v>
      </c>
      <c r="AK52" s="42"/>
      <c r="AL52" s="7"/>
      <c r="AM52" s="13">
        <f t="shared" si="38"/>
        <v>0</v>
      </c>
      <c r="AN52" s="42"/>
      <c r="AO52" s="9"/>
      <c r="AP52" s="13">
        <f t="shared" si="39"/>
        <v>0</v>
      </c>
      <c r="AQ52" s="42"/>
      <c r="AR52" s="9"/>
      <c r="AS52" s="13">
        <f t="shared" si="40"/>
        <v>0</v>
      </c>
      <c r="AT52" s="42"/>
      <c r="AU52" s="9"/>
      <c r="AV52" s="13">
        <f t="shared" si="63"/>
        <v>0</v>
      </c>
      <c r="AW52" s="42"/>
      <c r="AX52" s="9"/>
      <c r="AY52" s="13">
        <f t="shared" si="41"/>
        <v>0</v>
      </c>
      <c r="AZ52" s="42"/>
      <c r="BA52" s="24"/>
      <c r="BB52" s="13">
        <f t="shared" si="42"/>
        <v>0</v>
      </c>
      <c r="BC52" s="42"/>
      <c r="BD52" s="9"/>
      <c r="BE52" s="13">
        <f t="shared" si="43"/>
        <v>0</v>
      </c>
      <c r="BF52" s="42"/>
      <c r="BG52" s="9"/>
      <c r="BH52" s="13">
        <f t="shared" si="44"/>
        <v>0</v>
      </c>
      <c r="BI52" s="42"/>
      <c r="BJ52" s="9"/>
      <c r="BK52" s="13">
        <f t="shared" si="45"/>
        <v>0</v>
      </c>
      <c r="BL52" s="42"/>
      <c r="BM52" s="9"/>
      <c r="BN52" s="13">
        <f t="shared" si="46"/>
        <v>0</v>
      </c>
      <c r="BO52" s="42"/>
      <c r="BP52" s="9"/>
      <c r="BQ52" s="13">
        <f t="shared" si="47"/>
        <v>0</v>
      </c>
      <c r="BR52" s="42"/>
      <c r="BS52" s="9"/>
      <c r="BT52" s="13">
        <f t="shared" si="48"/>
        <v>0</v>
      </c>
      <c r="BU52" s="42"/>
      <c r="BV52" s="9"/>
      <c r="BW52" s="13">
        <f t="shared" si="49"/>
        <v>0</v>
      </c>
      <c r="BX52" s="42"/>
      <c r="BY52" s="9"/>
      <c r="BZ52" s="13">
        <f t="shared" si="50"/>
        <v>0</v>
      </c>
      <c r="CA52" s="42"/>
      <c r="CB52" s="9"/>
      <c r="CC52" s="13">
        <f t="shared" si="51"/>
        <v>0</v>
      </c>
      <c r="CD52" s="42"/>
      <c r="CE52" s="9"/>
      <c r="CF52" s="13">
        <f t="shared" si="52"/>
        <v>0</v>
      </c>
      <c r="CG52" s="42"/>
      <c r="CH52" s="9"/>
      <c r="CI52" s="13">
        <f t="shared" si="53"/>
        <v>0</v>
      </c>
      <c r="CJ52" s="42"/>
      <c r="CK52" s="9"/>
      <c r="CL52" s="13">
        <f t="shared" si="54"/>
        <v>0</v>
      </c>
      <c r="CM52" s="42"/>
      <c r="CN52" s="9"/>
      <c r="CO52" s="13">
        <f t="shared" si="55"/>
        <v>0</v>
      </c>
      <c r="CP52" s="42"/>
      <c r="CQ52" s="9"/>
      <c r="CR52" s="13">
        <f t="shared" si="56"/>
        <v>0</v>
      </c>
      <c r="CS52" s="42"/>
      <c r="CT52" s="9"/>
      <c r="CU52" s="13">
        <f t="shared" si="57"/>
        <v>0</v>
      </c>
      <c r="CV52" s="42"/>
      <c r="CW52" s="9"/>
      <c r="CX52" s="13">
        <f t="shared" si="58"/>
        <v>0</v>
      </c>
      <c r="CY52" s="42"/>
      <c r="CZ52" s="9"/>
      <c r="DA52" s="13">
        <f t="shared" si="59"/>
        <v>0</v>
      </c>
      <c r="DB52" s="42"/>
    </row>
    <row r="53" spans="1:106" s="8" customFormat="1" hidden="1" x14ac:dyDescent="0.35">
      <c r="A53" s="54">
        <v>10310258</v>
      </c>
      <c r="B53" s="54" t="s">
        <v>23</v>
      </c>
      <c r="C53" s="50">
        <v>80</v>
      </c>
      <c r="D53" s="46">
        <v>7</v>
      </c>
      <c r="E53" s="48">
        <v>16800</v>
      </c>
      <c r="F53" s="52"/>
      <c r="G53" s="48" t="s">
        <v>1</v>
      </c>
      <c r="H53" s="26"/>
      <c r="I53" s="20"/>
      <c r="J53" s="20"/>
      <c r="K53" s="41"/>
      <c r="L53" s="41"/>
      <c r="M53" s="20">
        <f t="shared" si="0"/>
        <v>0</v>
      </c>
      <c r="N53" s="20">
        <f t="shared" si="1"/>
        <v>0</v>
      </c>
      <c r="O53" s="26">
        <f t="shared" si="60"/>
        <v>0</v>
      </c>
      <c r="P53" s="26">
        <f t="shared" si="35"/>
        <v>0</v>
      </c>
      <c r="Q53" s="2"/>
      <c r="R53" s="13">
        <f t="shared" si="34"/>
        <v>0</v>
      </c>
      <c r="S53" s="42"/>
      <c r="T53" s="2"/>
      <c r="U53" s="13">
        <f t="shared" si="36"/>
        <v>0</v>
      </c>
      <c r="V53" s="42"/>
      <c r="W53" s="2"/>
      <c r="X53" s="13">
        <f t="shared" si="61"/>
        <v>0</v>
      </c>
      <c r="Y53" s="42"/>
      <c r="Z53" s="2"/>
      <c r="AA53" s="13">
        <f t="shared" ref="AA53:AA56" si="64">(Z53*D53)/1000</f>
        <v>0</v>
      </c>
      <c r="AB53" s="42"/>
      <c r="AC53" s="3"/>
      <c r="AD53" s="13">
        <f t="shared" ref="AD53:AD56" si="65">(AC53*D53)/1000</f>
        <v>0</v>
      </c>
      <c r="AE53" s="42"/>
      <c r="AF53" s="2"/>
      <c r="AG53" s="13">
        <f t="shared" si="8"/>
        <v>0</v>
      </c>
      <c r="AH53" s="42"/>
      <c r="AI53" s="7"/>
      <c r="AJ53" s="13">
        <f t="shared" si="37"/>
        <v>0</v>
      </c>
      <c r="AK53" s="42"/>
      <c r="AL53" s="7"/>
      <c r="AM53" s="13">
        <f t="shared" si="38"/>
        <v>0</v>
      </c>
      <c r="AN53" s="42"/>
      <c r="AO53" s="9"/>
      <c r="AP53" s="13">
        <f t="shared" si="39"/>
        <v>0</v>
      </c>
      <c r="AQ53" s="42"/>
      <c r="AR53" s="9"/>
      <c r="AS53" s="13">
        <f t="shared" si="40"/>
        <v>0</v>
      </c>
      <c r="AT53" s="42"/>
      <c r="AU53" s="9"/>
      <c r="AV53" s="13">
        <f t="shared" si="63"/>
        <v>0</v>
      </c>
      <c r="AW53" s="42"/>
      <c r="AX53" s="9"/>
      <c r="AY53" s="13">
        <f t="shared" si="41"/>
        <v>0</v>
      </c>
      <c r="AZ53" s="42"/>
      <c r="BA53" s="9"/>
      <c r="BB53" s="13">
        <f t="shared" si="42"/>
        <v>0</v>
      </c>
      <c r="BC53" s="42"/>
      <c r="BD53" s="9"/>
      <c r="BE53" s="13">
        <f t="shared" si="43"/>
        <v>0</v>
      </c>
      <c r="BF53" s="42"/>
      <c r="BG53" s="9"/>
      <c r="BH53" s="13">
        <f t="shared" si="44"/>
        <v>0</v>
      </c>
      <c r="BI53" s="42"/>
      <c r="BJ53" s="9"/>
      <c r="BK53" s="13">
        <f t="shared" si="45"/>
        <v>0</v>
      </c>
      <c r="BL53" s="42"/>
      <c r="BM53" s="9"/>
      <c r="BN53" s="13">
        <f t="shared" si="46"/>
        <v>0</v>
      </c>
      <c r="BO53" s="42"/>
      <c r="BP53" s="9"/>
      <c r="BQ53" s="13">
        <f t="shared" si="47"/>
        <v>0</v>
      </c>
      <c r="BR53" s="42"/>
      <c r="BS53" s="9"/>
      <c r="BT53" s="13">
        <f t="shared" si="48"/>
        <v>0</v>
      </c>
      <c r="BU53" s="42"/>
      <c r="BV53" s="9"/>
      <c r="BW53" s="13">
        <f t="shared" si="49"/>
        <v>0</v>
      </c>
      <c r="BX53" s="42"/>
      <c r="BY53" s="9"/>
      <c r="BZ53" s="13">
        <f t="shared" si="50"/>
        <v>0</v>
      </c>
      <c r="CA53" s="42"/>
      <c r="CB53" s="9"/>
      <c r="CC53" s="13">
        <f t="shared" si="51"/>
        <v>0</v>
      </c>
      <c r="CD53" s="42"/>
      <c r="CE53" s="9"/>
      <c r="CF53" s="13">
        <f t="shared" si="52"/>
        <v>0</v>
      </c>
      <c r="CG53" s="42"/>
      <c r="CH53" s="9"/>
      <c r="CI53" s="13">
        <f t="shared" si="53"/>
        <v>0</v>
      </c>
      <c r="CJ53" s="42"/>
      <c r="CK53" s="9"/>
      <c r="CL53" s="13">
        <f t="shared" si="54"/>
        <v>0</v>
      </c>
      <c r="CM53" s="42"/>
      <c r="CN53" s="9"/>
      <c r="CO53" s="13">
        <f t="shared" si="55"/>
        <v>0</v>
      </c>
      <c r="CP53" s="42"/>
      <c r="CQ53" s="9"/>
      <c r="CR53" s="13">
        <f t="shared" si="56"/>
        <v>0</v>
      </c>
      <c r="CS53" s="42"/>
      <c r="CT53" s="9"/>
      <c r="CU53" s="13">
        <f t="shared" si="57"/>
        <v>0</v>
      </c>
      <c r="CV53" s="42"/>
      <c r="CW53" s="9"/>
      <c r="CX53" s="13">
        <f t="shared" si="58"/>
        <v>0</v>
      </c>
      <c r="CY53" s="42"/>
      <c r="CZ53" s="9"/>
      <c r="DA53" s="13">
        <f t="shared" si="59"/>
        <v>0</v>
      </c>
      <c r="DB53" s="42"/>
    </row>
    <row r="54" spans="1:106" s="8" customFormat="1" hidden="1" x14ac:dyDescent="0.35">
      <c r="A54" s="54">
        <v>10310259</v>
      </c>
      <c r="B54" s="54" t="s">
        <v>24</v>
      </c>
      <c r="C54" s="50">
        <v>80</v>
      </c>
      <c r="D54" s="46">
        <v>7</v>
      </c>
      <c r="E54" s="48">
        <v>16800</v>
      </c>
      <c r="F54" s="52"/>
      <c r="G54" s="48" t="s">
        <v>1</v>
      </c>
      <c r="H54" s="26"/>
      <c r="I54" s="20"/>
      <c r="J54" s="20"/>
      <c r="K54" s="41"/>
      <c r="L54" s="41"/>
      <c r="M54" s="20">
        <f t="shared" si="0"/>
        <v>0</v>
      </c>
      <c r="N54" s="20">
        <f t="shared" si="1"/>
        <v>0</v>
      </c>
      <c r="O54" s="26">
        <f>Q54+T54+W54+Z54+AC54+AF54+AL54+AI54+AO54+AR54+AU54+AX54+BA54+BD54+BG54+BJ54+BM54+BP54+BS54+BV54+BY54+CB54+CE54+CH54+CK54+CN54+CQ54+CT54+CW54</f>
        <v>0</v>
      </c>
      <c r="P54" s="26">
        <f t="shared" si="35"/>
        <v>0</v>
      </c>
      <c r="Q54" s="1"/>
      <c r="R54" s="13">
        <f t="shared" si="34"/>
        <v>0</v>
      </c>
      <c r="S54" s="42"/>
      <c r="T54" s="1"/>
      <c r="U54" s="13">
        <f t="shared" si="36"/>
        <v>0</v>
      </c>
      <c r="V54" s="42"/>
      <c r="W54" s="1"/>
      <c r="X54" s="13">
        <f t="shared" si="61"/>
        <v>0</v>
      </c>
      <c r="Y54" s="42"/>
      <c r="Z54" s="1"/>
      <c r="AA54" s="13">
        <f t="shared" si="64"/>
        <v>0</v>
      </c>
      <c r="AB54" s="42"/>
      <c r="AC54" s="3"/>
      <c r="AD54" s="13">
        <f t="shared" si="65"/>
        <v>0</v>
      </c>
      <c r="AE54" s="42"/>
      <c r="AF54" s="2"/>
      <c r="AG54" s="13">
        <f t="shared" si="8"/>
        <v>0</v>
      </c>
      <c r="AH54" s="42"/>
      <c r="AI54" s="7"/>
      <c r="AJ54" s="13">
        <f t="shared" si="37"/>
        <v>0</v>
      </c>
      <c r="AK54" s="42"/>
      <c r="AL54" s="7"/>
      <c r="AM54" s="13">
        <f>(AL54*D54)/1000</f>
        <v>0</v>
      </c>
      <c r="AN54" s="42"/>
      <c r="AO54" s="9"/>
      <c r="AP54" s="13">
        <f t="shared" si="39"/>
        <v>0</v>
      </c>
      <c r="AQ54" s="42"/>
      <c r="AR54" s="9"/>
      <c r="AS54" s="13">
        <f t="shared" si="40"/>
        <v>0</v>
      </c>
      <c r="AT54" s="42"/>
      <c r="AU54" s="9"/>
      <c r="AV54" s="13">
        <f t="shared" si="63"/>
        <v>0</v>
      </c>
      <c r="AW54" s="42"/>
      <c r="AX54" s="9"/>
      <c r="AY54" s="13">
        <f t="shared" si="41"/>
        <v>0</v>
      </c>
      <c r="AZ54" s="42"/>
      <c r="BA54" s="9"/>
      <c r="BB54" s="13">
        <f t="shared" si="42"/>
        <v>0</v>
      </c>
      <c r="BC54" s="42"/>
      <c r="BD54" s="9"/>
      <c r="BE54" s="13">
        <f t="shared" si="43"/>
        <v>0</v>
      </c>
      <c r="BF54" s="42"/>
      <c r="BG54" s="9"/>
      <c r="BH54" s="13">
        <f t="shared" si="44"/>
        <v>0</v>
      </c>
      <c r="BI54" s="42"/>
      <c r="BJ54" s="9"/>
      <c r="BK54" s="13">
        <f t="shared" si="45"/>
        <v>0</v>
      </c>
      <c r="BL54" s="42"/>
      <c r="BM54" s="9"/>
      <c r="BN54" s="13">
        <f t="shared" si="46"/>
        <v>0</v>
      </c>
      <c r="BO54" s="42"/>
      <c r="BP54" s="9"/>
      <c r="BQ54" s="13">
        <f t="shared" si="47"/>
        <v>0</v>
      </c>
      <c r="BR54" s="42"/>
      <c r="BS54" s="9"/>
      <c r="BT54" s="13">
        <f t="shared" si="48"/>
        <v>0</v>
      </c>
      <c r="BU54" s="42"/>
      <c r="BV54" s="9"/>
      <c r="BW54" s="13">
        <f t="shared" si="49"/>
        <v>0</v>
      </c>
      <c r="BX54" s="42"/>
      <c r="BY54" s="9"/>
      <c r="BZ54" s="13">
        <f t="shared" si="50"/>
        <v>0</v>
      </c>
      <c r="CA54" s="42"/>
      <c r="CB54" s="9"/>
      <c r="CC54" s="13">
        <f t="shared" si="51"/>
        <v>0</v>
      </c>
      <c r="CD54" s="42"/>
      <c r="CE54" s="9"/>
      <c r="CF54" s="13">
        <f t="shared" si="52"/>
        <v>0</v>
      </c>
      <c r="CG54" s="42"/>
      <c r="CH54" s="9"/>
      <c r="CI54" s="13">
        <f t="shared" si="53"/>
        <v>0</v>
      </c>
      <c r="CJ54" s="42"/>
      <c r="CK54" s="9"/>
      <c r="CL54" s="13">
        <f t="shared" si="54"/>
        <v>0</v>
      </c>
      <c r="CM54" s="42"/>
      <c r="CN54" s="9"/>
      <c r="CO54" s="13">
        <f t="shared" si="55"/>
        <v>0</v>
      </c>
      <c r="CP54" s="42"/>
      <c r="CQ54" s="9"/>
      <c r="CR54" s="13">
        <f t="shared" si="56"/>
        <v>0</v>
      </c>
      <c r="CS54" s="42"/>
      <c r="CT54" s="9"/>
      <c r="CU54" s="13">
        <f t="shared" si="57"/>
        <v>0</v>
      </c>
      <c r="CV54" s="42"/>
      <c r="CW54" s="9"/>
      <c r="CX54" s="13">
        <f t="shared" si="58"/>
        <v>0</v>
      </c>
      <c r="CY54" s="42"/>
      <c r="CZ54" s="9"/>
      <c r="DA54" s="13">
        <f t="shared" si="59"/>
        <v>0</v>
      </c>
      <c r="DB54" s="42"/>
    </row>
    <row r="55" spans="1:106" s="8" customFormat="1" hidden="1" x14ac:dyDescent="0.35">
      <c r="A55" s="54">
        <v>10310170</v>
      </c>
      <c r="B55" s="54" t="s">
        <v>25</v>
      </c>
      <c r="C55" s="47">
        <v>48</v>
      </c>
      <c r="D55" s="46">
        <v>10</v>
      </c>
      <c r="E55" s="48">
        <v>11880</v>
      </c>
      <c r="F55" s="52">
        <v>720</v>
      </c>
      <c r="G55" s="48" t="s">
        <v>1</v>
      </c>
      <c r="H55" s="26"/>
      <c r="I55" s="20"/>
      <c r="J55" s="20"/>
      <c r="K55" s="41"/>
      <c r="L55" s="41"/>
      <c r="M55" s="20">
        <f t="shared" si="0"/>
        <v>0</v>
      </c>
      <c r="N55" s="20">
        <f t="shared" si="1"/>
        <v>0</v>
      </c>
      <c r="O55" s="26">
        <f t="shared" ref="O55:O57" si="66">Q55+T55+W55+Z55+AC55+AF55+AL55+AI55+AO55+AR55+AU55+AX55+BA55+BD55+BG55+BJ55+BM55+BP55+BS55+BV55+BY55+CB55+CE55+CH55+CK55+CN55+CQ55+CT55+CW55</f>
        <v>0</v>
      </c>
      <c r="P55" s="26">
        <f t="shared" si="35"/>
        <v>0</v>
      </c>
      <c r="Q55" s="2"/>
      <c r="R55" s="13">
        <f t="shared" si="34"/>
        <v>0</v>
      </c>
      <c r="S55" s="42"/>
      <c r="T55" s="2"/>
      <c r="U55" s="13">
        <f t="shared" si="36"/>
        <v>0</v>
      </c>
      <c r="V55" s="42"/>
      <c r="W55" s="2"/>
      <c r="X55" s="13">
        <f t="shared" si="61"/>
        <v>0</v>
      </c>
      <c r="Y55" s="42"/>
      <c r="Z55" s="2"/>
      <c r="AA55" s="13">
        <f t="shared" si="64"/>
        <v>0</v>
      </c>
      <c r="AB55" s="42"/>
      <c r="AC55" s="2"/>
      <c r="AD55" s="13">
        <f t="shared" si="65"/>
        <v>0</v>
      </c>
      <c r="AE55" s="42"/>
      <c r="AF55" s="2"/>
      <c r="AG55" s="13">
        <f t="shared" ref="AG55:AG58" si="67">(AF55*D55)/1000</f>
        <v>0</v>
      </c>
      <c r="AH55" s="42"/>
      <c r="AI55" s="7"/>
      <c r="AJ55" s="13">
        <f t="shared" si="37"/>
        <v>0</v>
      </c>
      <c r="AK55" s="42"/>
      <c r="AL55" s="7"/>
      <c r="AM55" s="13">
        <f t="shared" si="38"/>
        <v>0</v>
      </c>
      <c r="AN55" s="42"/>
      <c r="AO55" s="9"/>
      <c r="AP55" s="13">
        <f t="shared" si="39"/>
        <v>0</v>
      </c>
      <c r="AQ55" s="42"/>
      <c r="AR55" s="9"/>
      <c r="AS55" s="13">
        <f t="shared" si="40"/>
        <v>0</v>
      </c>
      <c r="AT55" s="42"/>
      <c r="AU55" s="9"/>
      <c r="AV55" s="13">
        <f t="shared" si="63"/>
        <v>0</v>
      </c>
      <c r="AW55" s="42"/>
      <c r="AX55" s="9"/>
      <c r="AY55" s="13">
        <f t="shared" si="41"/>
        <v>0</v>
      </c>
      <c r="AZ55" s="42"/>
      <c r="BA55" s="9"/>
      <c r="BB55" s="13">
        <f t="shared" si="42"/>
        <v>0</v>
      </c>
      <c r="BC55" s="42"/>
      <c r="BD55" s="9"/>
      <c r="BE55" s="13">
        <f t="shared" si="43"/>
        <v>0</v>
      </c>
      <c r="BF55" s="42"/>
      <c r="BG55" s="9"/>
      <c r="BH55" s="13">
        <f t="shared" si="44"/>
        <v>0</v>
      </c>
      <c r="BI55" s="42"/>
      <c r="BJ55" s="9"/>
      <c r="BK55" s="13">
        <f t="shared" si="45"/>
        <v>0</v>
      </c>
      <c r="BL55" s="42"/>
      <c r="BM55" s="9"/>
      <c r="BN55" s="13">
        <f t="shared" si="46"/>
        <v>0</v>
      </c>
      <c r="BO55" s="42"/>
      <c r="BP55" s="9"/>
      <c r="BQ55" s="13">
        <f t="shared" si="47"/>
        <v>0</v>
      </c>
      <c r="BR55" s="42"/>
      <c r="BS55" s="9"/>
      <c r="BT55" s="13">
        <f t="shared" si="48"/>
        <v>0</v>
      </c>
      <c r="BU55" s="42"/>
      <c r="BV55" s="9"/>
      <c r="BW55" s="13">
        <f t="shared" si="49"/>
        <v>0</v>
      </c>
      <c r="BX55" s="42"/>
      <c r="BY55" s="9"/>
      <c r="BZ55" s="13">
        <f t="shared" si="50"/>
        <v>0</v>
      </c>
      <c r="CA55" s="42"/>
      <c r="CB55" s="9"/>
      <c r="CC55" s="13">
        <f t="shared" si="51"/>
        <v>0</v>
      </c>
      <c r="CD55" s="42"/>
      <c r="CE55" s="9"/>
      <c r="CF55" s="13">
        <f t="shared" si="52"/>
        <v>0</v>
      </c>
      <c r="CG55" s="42"/>
      <c r="CH55" s="9"/>
      <c r="CI55" s="13">
        <f t="shared" si="53"/>
        <v>0</v>
      </c>
      <c r="CJ55" s="42"/>
      <c r="CK55" s="9"/>
      <c r="CL55" s="13">
        <f t="shared" si="54"/>
        <v>0</v>
      </c>
      <c r="CM55" s="42"/>
      <c r="CN55" s="9"/>
      <c r="CO55" s="13">
        <f t="shared" si="55"/>
        <v>0</v>
      </c>
      <c r="CP55" s="42"/>
      <c r="CQ55" s="9"/>
      <c r="CR55" s="13">
        <f t="shared" si="56"/>
        <v>0</v>
      </c>
      <c r="CS55" s="42"/>
      <c r="CT55" s="9"/>
      <c r="CU55" s="13">
        <f t="shared" si="57"/>
        <v>0</v>
      </c>
      <c r="CV55" s="42"/>
      <c r="CW55" s="9"/>
      <c r="CX55" s="13">
        <f t="shared" si="58"/>
        <v>0</v>
      </c>
      <c r="CY55" s="42"/>
      <c r="CZ55" s="9"/>
      <c r="DA55" s="13">
        <f t="shared" si="59"/>
        <v>0</v>
      </c>
      <c r="DB55" s="42"/>
    </row>
    <row r="56" spans="1:106" hidden="1" x14ac:dyDescent="0.35">
      <c r="A56" s="54">
        <v>10310171</v>
      </c>
      <c r="B56" s="54" t="s">
        <v>26</v>
      </c>
      <c r="C56" s="47">
        <v>48</v>
      </c>
      <c r="D56" s="46">
        <v>10</v>
      </c>
      <c r="E56" s="48">
        <v>11880</v>
      </c>
      <c r="F56" s="52">
        <v>624</v>
      </c>
      <c r="G56" s="48" t="s">
        <v>1</v>
      </c>
      <c r="H56" s="26"/>
      <c r="I56" s="20"/>
      <c r="J56" s="20"/>
      <c r="K56" s="41"/>
      <c r="L56" s="41"/>
      <c r="M56" s="20">
        <f t="shared" si="0"/>
        <v>0</v>
      </c>
      <c r="N56" s="20">
        <f t="shared" si="1"/>
        <v>0</v>
      </c>
      <c r="O56" s="26">
        <f t="shared" si="66"/>
        <v>0</v>
      </c>
      <c r="P56" s="26">
        <f t="shared" si="35"/>
        <v>0</v>
      </c>
      <c r="Q56" s="3"/>
      <c r="R56" s="27">
        <f t="shared" si="34"/>
        <v>0</v>
      </c>
      <c r="S56" s="42"/>
      <c r="T56" s="3"/>
      <c r="U56" s="27">
        <f t="shared" si="36"/>
        <v>0</v>
      </c>
      <c r="V56" s="42"/>
      <c r="W56" s="3"/>
      <c r="X56" s="27">
        <f t="shared" si="61"/>
        <v>0</v>
      </c>
      <c r="Y56" s="42"/>
      <c r="Z56" s="3"/>
      <c r="AA56" s="13">
        <f t="shared" si="64"/>
        <v>0</v>
      </c>
      <c r="AB56" s="42"/>
      <c r="AC56" s="3"/>
      <c r="AD56" s="13">
        <f t="shared" si="65"/>
        <v>0</v>
      </c>
      <c r="AE56" s="42"/>
      <c r="AF56" s="3"/>
      <c r="AG56" s="13">
        <f t="shared" si="67"/>
        <v>0</v>
      </c>
      <c r="AH56" s="42"/>
      <c r="AI56" s="6"/>
      <c r="AJ56" s="13">
        <f t="shared" si="37"/>
        <v>0</v>
      </c>
      <c r="AK56" s="42"/>
      <c r="AL56" s="7"/>
      <c r="AM56" s="13">
        <f t="shared" si="38"/>
        <v>0</v>
      </c>
      <c r="AN56" s="42"/>
      <c r="AO56" s="9"/>
      <c r="AP56" s="13">
        <f t="shared" si="39"/>
        <v>0</v>
      </c>
      <c r="AQ56" s="42"/>
      <c r="AR56" s="9"/>
      <c r="AS56" s="13">
        <f t="shared" si="40"/>
        <v>0</v>
      </c>
      <c r="AT56" s="42"/>
      <c r="AU56" s="9"/>
      <c r="AV56" s="13">
        <f t="shared" si="63"/>
        <v>0</v>
      </c>
      <c r="AW56" s="42"/>
      <c r="AX56" s="9"/>
      <c r="AY56" s="13">
        <f t="shared" si="41"/>
        <v>0</v>
      </c>
      <c r="AZ56" s="42"/>
      <c r="BA56" s="9"/>
      <c r="BB56" s="13">
        <f t="shared" si="42"/>
        <v>0</v>
      </c>
      <c r="BC56" s="42"/>
      <c r="BD56" s="9"/>
      <c r="BE56" s="13">
        <f t="shared" si="43"/>
        <v>0</v>
      </c>
      <c r="BF56" s="42"/>
      <c r="BG56" s="9"/>
      <c r="BH56" s="13">
        <f t="shared" si="44"/>
        <v>0</v>
      </c>
      <c r="BI56" s="42"/>
      <c r="BJ56" s="9"/>
      <c r="BK56" s="13">
        <f t="shared" si="45"/>
        <v>0</v>
      </c>
      <c r="BL56" s="42"/>
      <c r="BM56" s="9"/>
      <c r="BN56" s="13">
        <f t="shared" si="46"/>
        <v>0</v>
      </c>
      <c r="BO56" s="42"/>
      <c r="BP56" s="9"/>
      <c r="BQ56" s="13">
        <f t="shared" si="47"/>
        <v>0</v>
      </c>
      <c r="BR56" s="42"/>
      <c r="BS56" s="9"/>
      <c r="BT56" s="13">
        <f t="shared" si="48"/>
        <v>0</v>
      </c>
      <c r="BU56" s="42"/>
      <c r="BV56" s="9"/>
      <c r="BW56" s="13">
        <f t="shared" si="49"/>
        <v>0</v>
      </c>
      <c r="BX56" s="42"/>
      <c r="BY56" s="9"/>
      <c r="BZ56" s="13">
        <f t="shared" si="50"/>
        <v>0</v>
      </c>
      <c r="CA56" s="42"/>
      <c r="CB56" s="9"/>
      <c r="CC56" s="13">
        <f t="shared" si="51"/>
        <v>0</v>
      </c>
      <c r="CD56" s="42"/>
      <c r="CE56" s="9"/>
      <c r="CF56" s="13">
        <f t="shared" si="52"/>
        <v>0</v>
      </c>
      <c r="CG56" s="42"/>
      <c r="CH56" s="9"/>
      <c r="CI56" s="13">
        <f t="shared" si="53"/>
        <v>0</v>
      </c>
      <c r="CJ56" s="42"/>
      <c r="CK56" s="9"/>
      <c r="CL56" s="13">
        <f t="shared" si="54"/>
        <v>0</v>
      </c>
      <c r="CM56" s="42"/>
      <c r="CN56" s="9"/>
      <c r="CO56" s="13">
        <f t="shared" si="55"/>
        <v>0</v>
      </c>
      <c r="CP56" s="42"/>
      <c r="CQ56" s="9"/>
      <c r="CR56" s="13">
        <f t="shared" si="56"/>
        <v>0</v>
      </c>
      <c r="CS56" s="42"/>
      <c r="CT56" s="9"/>
      <c r="CU56" s="13">
        <f t="shared" si="57"/>
        <v>0</v>
      </c>
      <c r="CV56" s="42"/>
      <c r="CW56" s="9"/>
      <c r="CX56" s="13">
        <f t="shared" si="58"/>
        <v>0</v>
      </c>
      <c r="CY56" s="42"/>
      <c r="CZ56" s="9"/>
      <c r="DA56" s="13">
        <f t="shared" si="59"/>
        <v>0</v>
      </c>
      <c r="DB56" s="42"/>
    </row>
    <row r="57" spans="1:106" x14ac:dyDescent="0.3">
      <c r="A57" s="6"/>
      <c r="B57" s="39" t="s">
        <v>8</v>
      </c>
      <c r="C57" s="17"/>
      <c r="D57" s="6"/>
      <c r="E57" s="6"/>
      <c r="F57" s="53">
        <f>SUM(F4:F56)</f>
        <v>47742</v>
      </c>
      <c r="G57" s="6"/>
      <c r="H57" s="20">
        <f>SUM(H4:H56)</f>
        <v>0</v>
      </c>
      <c r="I57" s="20">
        <f>SUM(I4:I56)</f>
        <v>0</v>
      </c>
      <c r="J57" s="20">
        <f>SUM(J4:J56)</f>
        <v>0</v>
      </c>
      <c r="K57" s="20">
        <f>SUM(K4:K56)</f>
        <v>0</v>
      </c>
      <c r="L57" s="20"/>
      <c r="M57" s="49">
        <f>SUM(M4:M56)</f>
        <v>0</v>
      </c>
      <c r="N57" s="49">
        <f>SUM(N4:N56)</f>
        <v>0</v>
      </c>
      <c r="O57" s="26">
        <f t="shared" si="66"/>
        <v>45000</v>
      </c>
      <c r="P57" s="26">
        <f t="shared" si="35"/>
        <v>0</v>
      </c>
      <c r="Q57" s="28">
        <f t="shared" ref="Q57:AV57" si="68">SUM(Q4:Q56)</f>
        <v>5000</v>
      </c>
      <c r="R57" s="29">
        <f t="shared" si="68"/>
        <v>45</v>
      </c>
      <c r="S57" s="32">
        <f t="shared" si="68"/>
        <v>0</v>
      </c>
      <c r="T57" s="28">
        <f t="shared" si="68"/>
        <v>6000</v>
      </c>
      <c r="U57" s="29">
        <f t="shared" si="68"/>
        <v>54</v>
      </c>
      <c r="V57" s="32">
        <f t="shared" si="68"/>
        <v>0</v>
      </c>
      <c r="W57" s="28">
        <f t="shared" si="68"/>
        <v>5000</v>
      </c>
      <c r="X57" s="29">
        <f t="shared" si="68"/>
        <v>45</v>
      </c>
      <c r="Y57" s="32">
        <f t="shared" si="68"/>
        <v>0</v>
      </c>
      <c r="Z57" s="28">
        <f t="shared" si="68"/>
        <v>5000</v>
      </c>
      <c r="AA57" s="29">
        <f t="shared" si="68"/>
        <v>45</v>
      </c>
      <c r="AB57" s="32">
        <f t="shared" si="68"/>
        <v>0</v>
      </c>
      <c r="AC57" s="28">
        <f t="shared" si="68"/>
        <v>6000</v>
      </c>
      <c r="AD57" s="29">
        <f t="shared" si="68"/>
        <v>54</v>
      </c>
      <c r="AE57" s="32">
        <f t="shared" si="68"/>
        <v>0</v>
      </c>
      <c r="AF57" s="28">
        <f t="shared" si="68"/>
        <v>4000</v>
      </c>
      <c r="AG57" s="29">
        <f t="shared" si="68"/>
        <v>36</v>
      </c>
      <c r="AH57" s="32">
        <f t="shared" si="68"/>
        <v>0</v>
      </c>
      <c r="AI57" s="28">
        <f t="shared" si="68"/>
        <v>1500</v>
      </c>
      <c r="AJ57" s="29">
        <f t="shared" si="68"/>
        <v>13.5</v>
      </c>
      <c r="AK57" s="32">
        <f t="shared" si="68"/>
        <v>0</v>
      </c>
      <c r="AL57" s="28">
        <f t="shared" si="68"/>
        <v>4500</v>
      </c>
      <c r="AM57" s="29">
        <f t="shared" si="68"/>
        <v>15</v>
      </c>
      <c r="AN57" s="32">
        <f t="shared" si="68"/>
        <v>0</v>
      </c>
      <c r="AO57" s="28">
        <f t="shared" si="68"/>
        <v>4000</v>
      </c>
      <c r="AP57" s="29">
        <f t="shared" si="68"/>
        <v>0</v>
      </c>
      <c r="AQ57" s="32">
        <f t="shared" si="68"/>
        <v>0</v>
      </c>
      <c r="AR57" s="4">
        <f t="shared" si="68"/>
        <v>4000</v>
      </c>
      <c r="AS57" s="5">
        <f t="shared" si="68"/>
        <v>20.25</v>
      </c>
      <c r="AT57" s="32">
        <f t="shared" si="68"/>
        <v>0</v>
      </c>
      <c r="AU57" s="4">
        <f t="shared" si="68"/>
        <v>0</v>
      </c>
      <c r="AV57" s="5">
        <f t="shared" si="68"/>
        <v>0</v>
      </c>
      <c r="AW57" s="32">
        <f t="shared" ref="AW57:CB57" si="69">SUM(AW4:AW56)</f>
        <v>0</v>
      </c>
      <c r="AX57" s="4">
        <f t="shared" si="69"/>
        <v>0</v>
      </c>
      <c r="AY57" s="5">
        <f t="shared" si="69"/>
        <v>0</v>
      </c>
      <c r="AZ57" s="32">
        <f t="shared" si="69"/>
        <v>0</v>
      </c>
      <c r="BA57" s="4">
        <f t="shared" si="69"/>
        <v>0</v>
      </c>
      <c r="BB57" s="5">
        <f t="shared" si="69"/>
        <v>0</v>
      </c>
      <c r="BC57" s="32">
        <f t="shared" si="69"/>
        <v>0</v>
      </c>
      <c r="BD57" s="4">
        <f t="shared" si="69"/>
        <v>0</v>
      </c>
      <c r="BE57" s="5">
        <f t="shared" si="69"/>
        <v>0</v>
      </c>
      <c r="BF57" s="32">
        <f t="shared" si="69"/>
        <v>0</v>
      </c>
      <c r="BG57" s="4">
        <f t="shared" si="69"/>
        <v>0</v>
      </c>
      <c r="BH57" s="5">
        <f t="shared" si="69"/>
        <v>0</v>
      </c>
      <c r="BI57" s="32">
        <f t="shared" si="69"/>
        <v>0</v>
      </c>
      <c r="BJ57" s="4">
        <f t="shared" si="69"/>
        <v>0</v>
      </c>
      <c r="BK57" s="5">
        <f t="shared" si="69"/>
        <v>0</v>
      </c>
      <c r="BL57" s="32">
        <f t="shared" si="69"/>
        <v>0</v>
      </c>
      <c r="BM57" s="4">
        <f t="shared" si="69"/>
        <v>0</v>
      </c>
      <c r="BN57" s="5">
        <f t="shared" si="69"/>
        <v>0</v>
      </c>
      <c r="BO57" s="34">
        <f t="shared" si="69"/>
        <v>0</v>
      </c>
      <c r="BP57" s="35">
        <f t="shared" si="69"/>
        <v>0</v>
      </c>
      <c r="BQ57" s="5">
        <f t="shared" si="69"/>
        <v>0</v>
      </c>
      <c r="BR57" s="32">
        <f t="shared" si="69"/>
        <v>0</v>
      </c>
      <c r="BS57" s="35">
        <f t="shared" si="69"/>
        <v>0</v>
      </c>
      <c r="BT57" s="5">
        <f t="shared" si="69"/>
        <v>0</v>
      </c>
      <c r="BU57" s="32">
        <f t="shared" si="69"/>
        <v>0</v>
      </c>
      <c r="BV57" s="4">
        <f t="shared" si="69"/>
        <v>0</v>
      </c>
      <c r="BW57" s="5">
        <f t="shared" si="69"/>
        <v>0</v>
      </c>
      <c r="BX57" s="32">
        <f t="shared" si="69"/>
        <v>0</v>
      </c>
      <c r="BY57" s="4">
        <f t="shared" si="69"/>
        <v>0</v>
      </c>
      <c r="BZ57" s="5">
        <f t="shared" si="69"/>
        <v>0</v>
      </c>
      <c r="CA57" s="32">
        <f t="shared" si="69"/>
        <v>0</v>
      </c>
      <c r="CB57" s="4">
        <f t="shared" si="69"/>
        <v>0</v>
      </c>
      <c r="CC57" s="5">
        <f t="shared" ref="CC57:DH57" si="70">SUM(CC4:CC56)</f>
        <v>0</v>
      </c>
      <c r="CD57" s="32">
        <f t="shared" si="70"/>
        <v>0</v>
      </c>
      <c r="CE57" s="4">
        <f t="shared" si="70"/>
        <v>0</v>
      </c>
      <c r="CF57" s="5">
        <f t="shared" si="70"/>
        <v>0</v>
      </c>
      <c r="CG57" s="32">
        <f t="shared" si="70"/>
        <v>0</v>
      </c>
      <c r="CH57" s="4">
        <f t="shared" si="70"/>
        <v>0</v>
      </c>
      <c r="CI57" s="5">
        <f t="shared" si="70"/>
        <v>0</v>
      </c>
      <c r="CJ57" s="32">
        <f t="shared" si="70"/>
        <v>0</v>
      </c>
      <c r="CK57" s="4">
        <f t="shared" si="70"/>
        <v>0</v>
      </c>
      <c r="CL57" s="5">
        <f t="shared" si="70"/>
        <v>0</v>
      </c>
      <c r="CM57" s="32">
        <f t="shared" si="70"/>
        <v>0</v>
      </c>
      <c r="CN57" s="4">
        <f t="shared" si="70"/>
        <v>0</v>
      </c>
      <c r="CO57" s="5">
        <f t="shared" si="70"/>
        <v>0</v>
      </c>
      <c r="CP57" s="32">
        <f t="shared" si="70"/>
        <v>0</v>
      </c>
      <c r="CQ57" s="4">
        <f t="shared" si="70"/>
        <v>0</v>
      </c>
      <c r="CR57" s="5">
        <f t="shared" si="70"/>
        <v>0</v>
      </c>
      <c r="CS57" s="32">
        <f t="shared" si="70"/>
        <v>0</v>
      </c>
      <c r="CT57" s="4">
        <f t="shared" si="70"/>
        <v>0</v>
      </c>
      <c r="CU57" s="5">
        <f t="shared" si="70"/>
        <v>0</v>
      </c>
      <c r="CV57" s="32">
        <f t="shared" si="70"/>
        <v>0</v>
      </c>
      <c r="CW57" s="4">
        <f t="shared" si="70"/>
        <v>0</v>
      </c>
      <c r="CX57" s="5">
        <f t="shared" si="70"/>
        <v>0</v>
      </c>
      <c r="CY57" s="32">
        <f t="shared" si="70"/>
        <v>0</v>
      </c>
      <c r="CZ57" s="4">
        <f t="shared" si="70"/>
        <v>0</v>
      </c>
      <c r="DA57" s="5">
        <f t="shared" si="70"/>
        <v>0</v>
      </c>
      <c r="DB57" s="32">
        <f t="shared" si="70"/>
        <v>0</v>
      </c>
    </row>
    <row r="58" spans="1:106" x14ac:dyDescent="0.35">
      <c r="P58" s="26">
        <f t="shared" si="35"/>
        <v>0</v>
      </c>
      <c r="Q58" s="30">
        <f t="shared" ref="Q58:AF58" si="71">SUM(Q4:Q56)</f>
        <v>5000</v>
      </c>
      <c r="R58" s="30">
        <f t="shared" si="71"/>
        <v>45</v>
      </c>
      <c r="S58" s="33">
        <f t="shared" si="71"/>
        <v>0</v>
      </c>
      <c r="T58" s="30">
        <f t="shared" si="71"/>
        <v>6000</v>
      </c>
      <c r="U58" s="30">
        <f t="shared" si="71"/>
        <v>54</v>
      </c>
      <c r="V58" s="33">
        <f t="shared" si="71"/>
        <v>0</v>
      </c>
      <c r="W58" s="30">
        <f t="shared" si="71"/>
        <v>5000</v>
      </c>
      <c r="X58" s="30">
        <f t="shared" si="71"/>
        <v>45</v>
      </c>
      <c r="Y58" s="33">
        <f t="shared" si="71"/>
        <v>0</v>
      </c>
      <c r="Z58" s="30">
        <f t="shared" si="71"/>
        <v>5000</v>
      </c>
      <c r="AA58" s="30">
        <f t="shared" si="71"/>
        <v>45</v>
      </c>
      <c r="AB58" s="33">
        <f t="shared" si="71"/>
        <v>0</v>
      </c>
      <c r="AC58" s="30">
        <f t="shared" si="71"/>
        <v>6000</v>
      </c>
      <c r="AD58" s="30">
        <f t="shared" si="71"/>
        <v>54</v>
      </c>
      <c r="AE58" s="33">
        <f t="shared" si="71"/>
        <v>0</v>
      </c>
      <c r="AF58" s="30">
        <f t="shared" si="71"/>
        <v>4000</v>
      </c>
      <c r="AG58" s="13">
        <f t="shared" si="67"/>
        <v>0</v>
      </c>
      <c r="AH58" s="33">
        <f t="shared" ref="AH58:BM58" si="72">SUM(AH4:AH56)</f>
        <v>0</v>
      </c>
      <c r="AI58" s="30">
        <f t="shared" si="72"/>
        <v>1500</v>
      </c>
      <c r="AJ58" s="13">
        <f t="shared" si="72"/>
        <v>13.5</v>
      </c>
      <c r="AK58" s="33">
        <f t="shared" si="72"/>
        <v>0</v>
      </c>
      <c r="AL58" s="22">
        <f t="shared" si="72"/>
        <v>4500</v>
      </c>
      <c r="AM58" s="22">
        <f t="shared" si="72"/>
        <v>15</v>
      </c>
      <c r="AN58" s="33">
        <f t="shared" si="72"/>
        <v>0</v>
      </c>
      <c r="AO58" s="22">
        <f t="shared" si="72"/>
        <v>4000</v>
      </c>
      <c r="AP58" s="22">
        <f t="shared" si="72"/>
        <v>0</v>
      </c>
      <c r="AQ58" s="33">
        <f t="shared" si="72"/>
        <v>0</v>
      </c>
      <c r="AR58" s="22">
        <f t="shared" si="72"/>
        <v>4000</v>
      </c>
      <c r="AS58" s="22">
        <f t="shared" si="72"/>
        <v>20.25</v>
      </c>
      <c r="AT58" s="33">
        <f t="shared" si="72"/>
        <v>0</v>
      </c>
      <c r="AU58" s="22">
        <f t="shared" si="72"/>
        <v>0</v>
      </c>
      <c r="AV58" s="22">
        <f t="shared" si="72"/>
        <v>0</v>
      </c>
      <c r="AW58" s="33">
        <f t="shared" si="72"/>
        <v>0</v>
      </c>
      <c r="AX58" s="22">
        <f t="shared" si="72"/>
        <v>0</v>
      </c>
      <c r="AY58" s="22">
        <f t="shared" si="72"/>
        <v>0</v>
      </c>
      <c r="AZ58" s="33">
        <f t="shared" si="72"/>
        <v>0</v>
      </c>
      <c r="BA58" s="22">
        <f t="shared" si="72"/>
        <v>0</v>
      </c>
      <c r="BB58" s="22">
        <f t="shared" si="72"/>
        <v>0</v>
      </c>
      <c r="BC58" s="33">
        <f t="shared" si="72"/>
        <v>0</v>
      </c>
      <c r="BD58" s="22">
        <f t="shared" si="72"/>
        <v>0</v>
      </c>
      <c r="BE58" s="22">
        <f t="shared" si="72"/>
        <v>0</v>
      </c>
      <c r="BF58" s="33">
        <f t="shared" si="72"/>
        <v>0</v>
      </c>
      <c r="BG58" s="22">
        <f t="shared" si="72"/>
        <v>0</v>
      </c>
      <c r="BH58" s="22">
        <f t="shared" si="72"/>
        <v>0</v>
      </c>
      <c r="BI58" s="33">
        <f t="shared" si="72"/>
        <v>0</v>
      </c>
      <c r="BJ58" s="22">
        <f t="shared" si="72"/>
        <v>0</v>
      </c>
      <c r="BK58" s="22">
        <f t="shared" si="72"/>
        <v>0</v>
      </c>
      <c r="BL58" s="33">
        <f t="shared" si="72"/>
        <v>0</v>
      </c>
      <c r="BM58" s="22">
        <f t="shared" si="72"/>
        <v>0</v>
      </c>
      <c r="BN58" s="22">
        <f t="shared" ref="BN58:CS58" si="73">SUM(BN4:BN56)</f>
        <v>0</v>
      </c>
      <c r="BO58" s="33">
        <f t="shared" si="73"/>
        <v>0</v>
      </c>
      <c r="BP58" s="22">
        <f t="shared" si="73"/>
        <v>0</v>
      </c>
      <c r="BQ58" s="22">
        <f t="shared" si="73"/>
        <v>0</v>
      </c>
      <c r="BR58" s="33">
        <f t="shared" si="73"/>
        <v>0</v>
      </c>
      <c r="BS58" s="22">
        <f t="shared" si="73"/>
        <v>0</v>
      </c>
      <c r="BT58" s="22">
        <f t="shared" si="73"/>
        <v>0</v>
      </c>
      <c r="BU58" s="33">
        <f t="shared" si="73"/>
        <v>0</v>
      </c>
      <c r="BV58" s="22">
        <f t="shared" si="73"/>
        <v>0</v>
      </c>
      <c r="BW58" s="22">
        <f t="shared" si="73"/>
        <v>0</v>
      </c>
      <c r="BX58" s="33">
        <f t="shared" si="73"/>
        <v>0</v>
      </c>
      <c r="BY58" s="22">
        <f t="shared" si="73"/>
        <v>0</v>
      </c>
      <c r="BZ58" s="22">
        <f t="shared" si="73"/>
        <v>0</v>
      </c>
      <c r="CA58" s="33">
        <f t="shared" si="73"/>
        <v>0</v>
      </c>
      <c r="CB58" s="22">
        <f t="shared" si="73"/>
        <v>0</v>
      </c>
      <c r="CC58" s="22">
        <f t="shared" si="73"/>
        <v>0</v>
      </c>
      <c r="CD58" s="33">
        <f t="shared" si="73"/>
        <v>0</v>
      </c>
      <c r="CE58" s="22">
        <f t="shared" si="73"/>
        <v>0</v>
      </c>
      <c r="CF58" s="22">
        <f t="shared" si="73"/>
        <v>0</v>
      </c>
      <c r="CG58" s="33">
        <f t="shared" si="73"/>
        <v>0</v>
      </c>
      <c r="CH58" s="22">
        <f t="shared" si="73"/>
        <v>0</v>
      </c>
      <c r="CI58" s="22">
        <f t="shared" si="73"/>
        <v>0</v>
      </c>
      <c r="CJ58" s="33">
        <f t="shared" si="73"/>
        <v>0</v>
      </c>
      <c r="CK58" s="22">
        <f t="shared" si="73"/>
        <v>0</v>
      </c>
      <c r="CL58" s="22">
        <f t="shared" si="73"/>
        <v>0</v>
      </c>
      <c r="CM58" s="33">
        <f t="shared" si="73"/>
        <v>0</v>
      </c>
      <c r="CN58" s="22">
        <f t="shared" si="73"/>
        <v>0</v>
      </c>
      <c r="CO58" s="22">
        <f t="shared" si="73"/>
        <v>0</v>
      </c>
      <c r="CP58" s="33">
        <f t="shared" si="73"/>
        <v>0</v>
      </c>
      <c r="CQ58" s="22">
        <f t="shared" si="73"/>
        <v>0</v>
      </c>
      <c r="CR58" s="22">
        <f t="shared" si="73"/>
        <v>0</v>
      </c>
      <c r="CS58" s="33">
        <f t="shared" si="73"/>
        <v>0</v>
      </c>
      <c r="CT58" s="22">
        <f t="shared" ref="CT58:DB58" si="74">SUM(CT4:CT56)</f>
        <v>0</v>
      </c>
      <c r="CU58" s="22">
        <f t="shared" si="74"/>
        <v>0</v>
      </c>
      <c r="CV58" s="33">
        <f t="shared" si="74"/>
        <v>0</v>
      </c>
      <c r="CW58" s="22">
        <f t="shared" si="74"/>
        <v>0</v>
      </c>
      <c r="CX58" s="22">
        <f t="shared" si="74"/>
        <v>0</v>
      </c>
      <c r="CY58" s="33">
        <f t="shared" si="74"/>
        <v>0</v>
      </c>
      <c r="CZ58" s="22">
        <f t="shared" si="74"/>
        <v>0</v>
      </c>
      <c r="DA58" s="22">
        <f t="shared" si="74"/>
        <v>0</v>
      </c>
      <c r="DB58" s="33">
        <f t="shared" si="74"/>
        <v>0</v>
      </c>
    </row>
    <row r="59" spans="1:106" s="8" customFormat="1" x14ac:dyDescent="0.35"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P59" s="15"/>
      <c r="AX59" s="23">
        <f>SUM(AX4:AX56)</f>
        <v>0</v>
      </c>
      <c r="AY59" s="23">
        <f>SUM(AY4:AY56)</f>
        <v>0</v>
      </c>
      <c r="AZ59" s="23"/>
      <c r="BA59" s="23">
        <f>SUM(BA4:BA56)</f>
        <v>0</v>
      </c>
      <c r="BB59" s="23">
        <f>SUM(BB4:BB56)</f>
        <v>0</v>
      </c>
      <c r="BC59" s="23"/>
      <c r="BD59" s="23">
        <f>SUM(BD4:BD56)</f>
        <v>0</v>
      </c>
      <c r="BE59" s="23">
        <f>SUM(BE4:BE56)</f>
        <v>0</v>
      </c>
      <c r="BF59" s="23"/>
      <c r="BG59" s="23">
        <f>SUM(BG4:BG56)</f>
        <v>0</v>
      </c>
      <c r="BH59" s="23">
        <f>SUM(BH4:BH56)</f>
        <v>0</v>
      </c>
      <c r="BI59" s="23"/>
      <c r="BJ59" s="23">
        <f>SUM(BJ4:BJ56)</f>
        <v>0</v>
      </c>
      <c r="BK59" s="23">
        <f>SUM(BK4:BK56)</f>
        <v>0</v>
      </c>
      <c r="BL59" s="23"/>
      <c r="BM59" s="23">
        <f>SUM(BM4:BM56)</f>
        <v>0</v>
      </c>
      <c r="BN59" s="23">
        <f>SUM(BN4:BN56)</f>
        <v>0</v>
      </c>
      <c r="BO59" s="23"/>
      <c r="BP59" s="23">
        <f>SUM(BP4:BP56)</f>
        <v>0</v>
      </c>
      <c r="BQ59" s="23">
        <f>SUM(BQ4:BQ56)</f>
        <v>0</v>
      </c>
      <c r="BR59" s="23"/>
      <c r="BS59" s="23">
        <f>SUM(BS4:BS56)</f>
        <v>0</v>
      </c>
      <c r="BT59" s="23">
        <f>SUM(BT4:BT56)</f>
        <v>0</v>
      </c>
      <c r="BU59" s="23"/>
      <c r="BV59" s="23">
        <f>SUM(BV4:BV56)</f>
        <v>0</v>
      </c>
      <c r="BW59" s="23">
        <f>SUM(BW4:BW56)</f>
        <v>0</v>
      </c>
      <c r="BX59" s="23"/>
      <c r="BY59" s="23">
        <f>SUM(BY4:BY56)</f>
        <v>0</v>
      </c>
      <c r="BZ59" s="23">
        <f>SUM(BZ4:BZ56)</f>
        <v>0</v>
      </c>
      <c r="CA59" s="23"/>
      <c r="CB59" s="23">
        <f>SUM(CB4:CB56)</f>
        <v>0</v>
      </c>
      <c r="CC59" s="23">
        <f>SUM(CC4:CC56)</f>
        <v>0</v>
      </c>
      <c r="CD59" s="23"/>
      <c r="CE59" s="23">
        <f>SUM(CE4:CE56)</f>
        <v>0</v>
      </c>
      <c r="CF59" s="13">
        <f>(CE59*D59)/1000</f>
        <v>0</v>
      </c>
      <c r="CG59" s="23"/>
      <c r="CH59" s="23">
        <f>SUM(CH4:CH56)</f>
        <v>0</v>
      </c>
      <c r="CI59" s="23">
        <f>SUM(CI4:CI56)</f>
        <v>0</v>
      </c>
      <c r="CJ59" s="23"/>
      <c r="CK59" s="23">
        <f>SUM(CK4:CK56)</f>
        <v>0</v>
      </c>
      <c r="CL59" s="23">
        <f>SUM(CL4:CL56)</f>
        <v>0</v>
      </c>
      <c r="CM59" s="23"/>
      <c r="CN59" s="23">
        <f>SUM(CN4:CN56)</f>
        <v>0</v>
      </c>
      <c r="CO59" s="23">
        <f>SUM(CO4:CO56)</f>
        <v>0</v>
      </c>
      <c r="CP59" s="23"/>
      <c r="CQ59" s="23">
        <f>SUM(CQ4:CQ56)</f>
        <v>0</v>
      </c>
      <c r="CR59" s="23">
        <f>SUM(CR4:CR56)</f>
        <v>0</v>
      </c>
      <c r="CS59" s="23"/>
      <c r="CT59" s="23">
        <f>SUM(CT4:CT56)</f>
        <v>0</v>
      </c>
      <c r="CU59" s="23">
        <f>SUM(CU4:CU56)</f>
        <v>0</v>
      </c>
      <c r="CV59" s="23"/>
      <c r="CW59" s="23">
        <f>SUM(CW4:CW56)</f>
        <v>0</v>
      </c>
      <c r="CX59" s="23">
        <f>SUM(CX4:CX56)</f>
        <v>0</v>
      </c>
      <c r="CY59" s="23"/>
    </row>
  </sheetData>
  <autoFilter ref="A2:CR59" xr:uid="{E0E3B608-DCFF-4BD4-BDD0-DC9AB730987C}">
    <filterColumn colId="14">
      <filters blank="1">
        <filter val="1,000"/>
        <filter val="1,500"/>
        <filter val="10,000"/>
        <filter val="10,080"/>
        <filter val="11,000"/>
        <filter val="12,600"/>
        <filter val="12,880"/>
        <filter val="2,000"/>
        <filter val="2,500"/>
        <filter val="22,000"/>
        <filter val="293,960"/>
        <filter val="3,000"/>
        <filter val="33,000"/>
        <filter val="4,200"/>
        <filter val="5,000"/>
        <filter val="5,500"/>
        <filter val="500"/>
        <filter val="55,000"/>
        <filter val="6,000"/>
        <filter val="6,500"/>
        <filter val="7,000"/>
        <filter val="7,200"/>
        <filter val="7,500"/>
        <filter val="8,400"/>
        <filter val="Total plan"/>
      </filters>
    </filterColumn>
    <filterColumn colId="25" showButton="0"/>
  </autoFilter>
  <conditionalFormatting sqref="A2">
    <cfRule type="duplicateValues" dxfId="0" priority="1"/>
  </conditionalFormatting>
  <pageMargins left="0.17" right="0.25" top="0.75" bottom="0.75" header="0.3" footer="0.3"/>
  <pageSetup scale="3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SDPF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Wafdy</dc:creator>
  <cp:lastModifiedBy>NCC Microsoft 14</cp:lastModifiedBy>
  <cp:lastPrinted>2024-03-26T10:07:49Z</cp:lastPrinted>
  <dcterms:created xsi:type="dcterms:W3CDTF">2021-09-22T09:49:17Z</dcterms:created>
  <dcterms:modified xsi:type="dcterms:W3CDTF">2026-08-02T10:59:09Z</dcterms:modified>
</cp:coreProperties>
</file>