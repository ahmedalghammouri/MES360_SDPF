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my\Downloads\"/>
    </mc:Choice>
  </mc:AlternateContent>
  <xr:revisionPtr revIDLastSave="0" documentId="13_ncr:1_{D70C3C05-108E-4730-97D9-805B2F7897A4}" xr6:coauthVersionLast="47" xr6:coauthVersionMax="47" xr10:uidLastSave="{00000000-0000-0000-0000-000000000000}"/>
  <bookViews>
    <workbookView xWindow="-38520" yWindow="-3765" windowWidth="38640" windowHeight="15720" activeTab="1" xr2:uid="{00000000-000D-0000-FFFF-FFFF00000000}"/>
  </bookViews>
  <sheets>
    <sheet name="Summary" sheetId="1" r:id="rId1"/>
    <sheet name="Action Checklis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B9" i="1"/>
  <c r="B8" i="1"/>
  <c r="B7" i="1"/>
  <c r="E6" i="1"/>
  <c r="B6" i="1"/>
  <c r="E5" i="1"/>
  <c r="B5" i="1"/>
  <c r="B10" i="1" s="1"/>
  <c r="E4" i="1"/>
  <c r="B4" i="1"/>
</calcChain>
</file>

<file path=xl/sharedStrings.xml><?xml version="1.0" encoding="utf-8"?>
<sst xmlns="http://schemas.openxmlformats.org/spreadsheetml/2006/main" count="214" uniqueCount="124">
  <si>
    <t>NCC PoC Enhancement Checklist – Summary</t>
  </si>
  <si>
    <t>Metric</t>
  </si>
  <si>
    <t>Value</t>
  </si>
  <si>
    <t>Priority</t>
  </si>
  <si>
    <t>Count</t>
  </si>
  <si>
    <t>Total Actions</t>
  </si>
  <si>
    <t>Critical</t>
  </si>
  <si>
    <t>Completed</t>
  </si>
  <si>
    <t>High</t>
  </si>
  <si>
    <t>In Progress</t>
  </si>
  <si>
    <t>Medium</t>
  </si>
  <si>
    <t>Blocked</t>
  </si>
  <si>
    <t>Under Review</t>
  </si>
  <si>
    <t>Deadline Tracking</t>
  </si>
  <si>
    <t>Not Started</t>
  </si>
  <si>
    <t>Deadlines Assigned</t>
  </si>
  <si>
    <t>Completion %</t>
  </si>
  <si>
    <t>Overdue</t>
  </si>
  <si>
    <t>Due in Next 7 Days</t>
  </si>
  <si>
    <t>NCC PoC Enhancement Action Checklist</t>
  </si>
  <si>
    <t>ID</t>
  </si>
  <si>
    <t>Module / Area</t>
  </si>
  <si>
    <t>Requirement / Action Item</t>
  </si>
  <si>
    <t>Acceptance Criteria</t>
  </si>
  <si>
    <t>Status</t>
  </si>
  <si>
    <t>Notes</t>
  </si>
  <si>
    <t>Deadline</t>
  </si>
  <si>
    <t>Responsible</t>
  </si>
  <si>
    <t>Plant Live Views – Line Dashboard</t>
  </si>
  <si>
    <t>Update the 3D production line model to match the actual equipment configuration.</t>
  </si>
  <si>
    <t>The model reflects the actual machines, sequence, position, orientation, conveyors, and production flow observed on site.</t>
  </si>
  <si>
    <t>Use the latest approved site layout and machine reference images.</t>
  </si>
  <si>
    <t>Update dashboard site locations using the latest coordinates shared by NCC.</t>
  </si>
  <si>
    <t>All site/location markers display the latest approved coordinates and open the correct plant/location.</t>
  </si>
  <si>
    <t>Confirm the latest coordinate list before deployment.</t>
  </si>
  <si>
    <t>Downtime Command Center</t>
  </si>
  <si>
    <t>Integrate the bottleneck machine stack-light signals with the downtime module.</t>
  </si>
  <si>
    <t>The system receives and records the relevant stack-light state changes from the selected bottleneck machine.</t>
  </si>
  <si>
    <t>Confirm available signal colors, meanings, and communication method.</t>
  </si>
  <si>
    <t>Automatically detect and timestamp production stops and resumptions.</t>
  </si>
  <si>
    <t>Stop and restart events are created automatically with accurate start time, end time, and duration.</t>
  </si>
  <si>
    <t>Avoid duplicate events and define signal-debounce logic.</t>
  </si>
  <si>
    <t>Limit operator input to classifying or assigning the downtime reason.</t>
  </si>
  <si>
    <t>The system creates the event automatically; the operator only selects the reason/category and may add a comment.</t>
  </si>
  <si>
    <t>Keep a clear workflow for unclassified events.</t>
  </si>
  <si>
    <t>Review planned and unplanned downtime classifications.</t>
  </si>
  <si>
    <t>Each automatic or manual event is correctly classified as planned/unplanned and is used consistently in reports and OEE.</t>
  </si>
  <si>
    <t>Align classification rules across Downtime, OEE, and Maintenance modules.</t>
  </si>
  <si>
    <t>OEE – Overall Line Calculation</t>
  </si>
  <si>
    <t>Verify the current method used to calculate overall line OEE.</t>
  </si>
  <si>
    <t>A documented review confirms whether the current value is an average of machine OEEs or uses another method.</t>
  </si>
  <si>
    <t>Provide current calculation logic before applying changes.</t>
  </si>
  <si>
    <t>Implement bottleneck-based overall line OEE.</t>
  </si>
  <si>
    <t>Overall Line OEE = Bottleneck Availability × Bottleneck Performance × Final Outfeed Quality.</t>
  </si>
  <si>
    <t>Big Betti is currently identified as the bottleneck for the PoC.</t>
  </si>
  <si>
    <t>Define and implement Final Outfeed Quality for the line.</t>
  </si>
  <si>
    <t>The quality factor accounts for relevant downstream quality losses at the Checkweigher, Cartomac, Palletizer, and Wrapping Machine.</t>
  </si>
  <si>
    <t>Confirm how rejects and rework are captured at each stage.</t>
  </si>
  <si>
    <t>OEE – Machine-Level Logic</t>
  </si>
  <si>
    <t>Automatically detect Starved conditions for downstream machines.</t>
  </si>
  <si>
    <t>When product is unavailable from upstream, the machine state changes to Starved – External Loss instead of Running.</t>
  </si>
  <si>
    <t>Define the signal combination and minimum waiting duration.</t>
  </si>
  <si>
    <t>Automatically detect Blocked conditions where applicable.</t>
  </si>
  <si>
    <t>When a machine cannot discharge because of a downstream constraint, its state changes to Blocked.</t>
  </si>
  <si>
    <t>Confirm that the required downstream/full-buffer signals are available.</t>
  </si>
  <si>
    <t>Exclude Starved and Blocked time from machine Availability and Performance losses.</t>
  </si>
  <si>
    <t>External process constraints do not reduce the evaluated machine's Availability or Performance values.</t>
  </si>
  <si>
    <t>Document the exact inclusion/exclusion rules used in OEE calculations.</t>
  </si>
  <si>
    <t>OEE – PoC Demonstration</t>
  </si>
  <si>
    <t>Demonstrate automated Starved/Blocked detection on the Palletizer or Wrapping Machine.</t>
  </si>
  <si>
    <t>A working PoC demonstrates state detection using available stack-light signals and shows the effect on machine OEE.</t>
  </si>
  <si>
    <t>Select the machine with the most reliable and accessible signals.</t>
  </si>
  <si>
    <t>Analytics &amp; Reports – Production KPIs</t>
  </si>
  <si>
    <t>Add Master Schedule Attainment (MSA) to the dashboard.</t>
  </si>
  <si>
    <t>The KPI is displayed with the agreed formula, scope, date range, target, actual value, and drill-down/source data.</t>
  </si>
  <si>
    <t>The formula was not visible in the received email; confirm it with NCC.</t>
  </si>
  <si>
    <t>Define the MSA calculation logic and required data sources.</t>
  </si>
  <si>
    <t>A documented formula identifies the planned schedule, actual completed quantity/orders, cutoff rules, and exclusions.</t>
  </si>
  <si>
    <t>Confirm whether attainment is quantity-based, order-based, or schedule-line-based.</t>
  </si>
  <si>
    <t>Add Volume-Based Capacity Utilization to the dashboard.</t>
  </si>
  <si>
    <t>The KPI compares actual production volume with the agreed available or rated capacity for the selected scope and period.</t>
  </si>
  <si>
    <t>Define the Volume-Based Capacity Utilization calculation logic.</t>
  </si>
  <si>
    <t>A documented formula identifies capacity basis, available hours, rated speed, planned shutdowns, and product mix rules.</t>
  </si>
  <si>
    <t>Confirm whether capacity is based on design, demonstrated, or planned capacity.</t>
  </si>
  <si>
    <t>Analytics &amp; Reports – Quality KPIs</t>
  </si>
  <si>
    <t>Correct First Pass Yield (FPY) values in Quality Reports.</t>
  </si>
  <si>
    <t>FPY values calculated by the system appear correctly in the Quality Reports for the same scope and time period.</t>
  </si>
  <si>
    <t>Validate numerator, denominator, rework treatment, and report filters.</t>
  </si>
  <si>
    <t>Correct Defect Rate values in Quality Reports.</t>
  </si>
  <si>
    <t>Defect Rate values calculated by the system appear correctly in the Quality Reports for the same scope and time period.</t>
  </si>
  <si>
    <t>Confirm defect unit: units, cartons, batches, checks, or opportunities.</t>
  </si>
  <si>
    <t>Analytics &amp; Reports – Maintenance</t>
  </si>
  <si>
    <t>Document the MTBF calculation methodology used by the system.</t>
  </si>
  <si>
    <t>The mathematical formula, equipment scope, period, failure definition, and included/excluded events are documented.</t>
  </si>
  <si>
    <t>Clarify whether planned downtime and external losses are excluded.</t>
  </si>
  <si>
    <t>Document the MTTR calculation methodology used by the system.</t>
  </si>
  <si>
    <t>The mathematical formula, repair start/end rules, equipment scope, period, and included/excluded events are documented.</t>
  </si>
  <si>
    <t>Clarify treatment of waiting for parts, approvals, and planned maintenance.</t>
  </si>
  <si>
    <t>Define downtime classifications and event inclusion/exclusion rules for MTBF and MTTR.</t>
  </si>
  <si>
    <t>A classification matrix shows which downtime reasons/events contribute to MTBF, MTTR, Availability, and reports.</t>
  </si>
  <si>
    <t>Use one consistent rule set across all modules.</t>
  </si>
  <si>
    <t>Investigate and resolve the difference between Maintenance Reports and Downtime Command Center values.</t>
  </si>
  <si>
    <t>The root cause is documented and both views show aligned values when the same scope, period, and filters are used.</t>
  </si>
  <si>
    <t>Check timezone, event status, filters, classifications, aggregation, and data source.</t>
  </si>
  <si>
    <t>Energy Module</t>
  </si>
  <si>
    <t>Implement Energy Ratio KPIs by individual machine.</t>
  </si>
  <si>
    <t>Energy consumption and the agreed energy ratio are available for each machine and selected time period.</t>
  </si>
  <si>
    <t>Confirm the required ratio denominator, such as kWh/unit, kWh/carton, or kWh/kg.</t>
  </si>
  <si>
    <t>Implement Energy Ratio KPIs by Work Order.</t>
  </si>
  <si>
    <t>Energy consumption and the agreed energy ratio are allocated and displayed for each work order.</t>
  </si>
  <si>
    <t>Define allocation logic when several machines or work orders overlap.</t>
  </si>
  <si>
    <t>Add a Scope 2 GHG / Carbon Footprint KPI based on electricity consumption.</t>
  </si>
  <si>
    <t>The dashboard calculates and displays Scope 2 emissions in kg CO2e for the selected scope and period.</t>
  </si>
  <si>
    <t>Formula: Total kWh consumed × Grid Emission Factor.</t>
  </si>
  <si>
    <t>Configure the KSA grid emission factor as 0.568 kg CO2e/kWh.</t>
  </si>
  <si>
    <t>The factor is stored as a configurable value, applied to calculations, and displayed with its unit and effective source/date.</t>
  </si>
  <si>
    <t>Confirm with NCC whether 0.568 is fixed for the PoC or must be editable.</t>
  </si>
  <si>
    <t>Support relevant filters for Energy and Carbon KPIs.</t>
  </si>
  <si>
    <t>KPIs can be filtered by machine, line, work order, and time period, subject to available metering data.</t>
  </si>
  <si>
    <t>Confirm meter-to-machine mapping and data sampling interval.</t>
  </si>
  <si>
    <t>Technical Assessment &amp; Delivery</t>
  </si>
  <si>
    <t>Prepare the technical implementation approach for all requested enhancements.</t>
  </si>
  <si>
    <t>A consolidated response identifies the solution, data/signals, dependencies, limitations, NCC inputs, priorities, and target dates.</t>
  </si>
  <si>
    <t>Required for review during the site visit and follow-up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</si>
</sst>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9C0006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Actions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Summary!$A$5:$A$9</c:f>
              <c:strCache>
                <c:ptCount val="5"/>
                <c:pt idx="0">
                  <c:v>Completed</c:v>
                </c:pt>
                <c:pt idx="1">
                  <c:v>In Progress</c:v>
                </c:pt>
                <c:pt idx="2">
                  <c:v>Blocked</c:v>
                </c:pt>
                <c:pt idx="3">
                  <c:v>Under Review</c:v>
                </c:pt>
                <c:pt idx="4">
                  <c:v>Not Started</c:v>
                </c:pt>
              </c:strCache>
            </c:strRef>
          </c:cat>
          <c:val>
            <c:numRef>
              <c:f>Summary!$B$5:$B$9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5-4C6B-A65F-6678374B9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CCActionChecklist" displayName="NCCActionChecklist" ref="A2:I31">
  <tableColumns count="9">
    <tableColumn id="1" xr3:uid="{00000000-0010-0000-0000-000001000000}" name="ID"/>
    <tableColumn id="2" xr3:uid="{00000000-0010-0000-0000-000002000000}" name="Module / Area"/>
    <tableColumn id="3" xr3:uid="{00000000-0010-0000-0000-000003000000}" name="Requirement / Action Item"/>
    <tableColumn id="4" xr3:uid="{00000000-0010-0000-0000-000004000000}" name="Acceptance Criteria"/>
    <tableColumn id="5" xr3:uid="{00000000-0010-0000-0000-000005000000}" name="Priority"/>
    <tableColumn id="6" xr3:uid="{00000000-0010-0000-0000-000006000000}" name="Status"/>
    <tableColumn id="7" xr3:uid="{00000000-0010-0000-0000-000007000000}" name="Notes"/>
    <tableColumn id="8" xr3:uid="{00000000-0010-0000-0000-000008000000}" name="Deadline"/>
    <tableColumn id="9" xr3:uid="{00000000-0010-0000-0000-000009000000}" name="Respons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1"/>
    </sheetView>
  </sheetViews>
  <sheetFormatPr defaultRowHeight="13.8"/>
  <cols>
    <col min="1" max="1" width="24" customWidth="1"/>
    <col min="2" max="2" width="14" customWidth="1"/>
    <col min="4" max="4" width="24" customWidth="1"/>
    <col min="5" max="5" width="14" customWidth="1"/>
  </cols>
  <sheetData>
    <row r="1" spans="1:6" ht="21">
      <c r="A1" s="7" t="s">
        <v>0</v>
      </c>
      <c r="B1" s="7"/>
      <c r="C1" s="7"/>
      <c r="D1" s="7"/>
      <c r="E1" s="7"/>
      <c r="F1" s="7"/>
    </row>
    <row r="3" spans="1:6">
      <c r="A3" s="1" t="s">
        <v>1</v>
      </c>
      <c r="B3" s="1" t="s">
        <v>2</v>
      </c>
      <c r="D3" s="1" t="s">
        <v>3</v>
      </c>
      <c r="E3" s="1" t="s">
        <v>4</v>
      </c>
    </row>
    <row r="4" spans="1:6">
      <c r="A4" s="2" t="s">
        <v>5</v>
      </c>
      <c r="B4" s="2">
        <f>COUNTA('Action Checklist'!A3:A200)</f>
        <v>29</v>
      </c>
      <c r="D4" s="2" t="s">
        <v>6</v>
      </c>
      <c r="E4" s="2">
        <f>COUNTIF('Action Checklist'!E3:E200,"Critical")</f>
        <v>8</v>
      </c>
    </row>
    <row r="5" spans="1:6">
      <c r="A5" s="2" t="s">
        <v>7</v>
      </c>
      <c r="B5" s="2">
        <f>COUNTIF('Action Checklist'!F3:F200,"Completed")</f>
        <v>3</v>
      </c>
      <c r="D5" s="2" t="s">
        <v>8</v>
      </c>
      <c r="E5" s="2">
        <f>COUNTIF('Action Checklist'!E3:E200,"High")</f>
        <v>20</v>
      </c>
    </row>
    <row r="6" spans="1:6">
      <c r="A6" s="2" t="s">
        <v>9</v>
      </c>
      <c r="B6" s="2">
        <f>COUNTIF('Action Checklist'!F3:F200,"In Progress")</f>
        <v>0</v>
      </c>
      <c r="D6" s="2" t="s">
        <v>10</v>
      </c>
      <c r="E6" s="2">
        <f>COUNTIF('Action Checklist'!E3:E200,"Medium")</f>
        <v>1</v>
      </c>
    </row>
    <row r="7" spans="1:6">
      <c r="A7" s="2" t="s">
        <v>11</v>
      </c>
      <c r="B7" s="2">
        <f>COUNTIF('Action Checklist'!F3:F200,"Blocked")</f>
        <v>0</v>
      </c>
      <c r="D7" s="2"/>
      <c r="E7" s="2"/>
    </row>
    <row r="8" spans="1:6">
      <c r="A8" s="2" t="s">
        <v>12</v>
      </c>
      <c r="B8" s="2">
        <f>COUNTIF('Action Checklist'!F3:F200,"Under Review")</f>
        <v>0</v>
      </c>
      <c r="D8" s="1" t="s">
        <v>13</v>
      </c>
      <c r="E8" s="1" t="s">
        <v>2</v>
      </c>
    </row>
    <row r="9" spans="1:6">
      <c r="A9" s="2" t="s">
        <v>14</v>
      </c>
      <c r="B9" s="2">
        <f>COUNTIF('Action Checklist'!F3:F200,"Not Started")</f>
        <v>26</v>
      </c>
      <c r="D9" s="2" t="s">
        <v>15</v>
      </c>
      <c r="E9" s="2">
        <f>COUNT('Action Checklist'!H3:H200)</f>
        <v>0</v>
      </c>
    </row>
    <row r="10" spans="1:6">
      <c r="A10" s="2" t="s">
        <v>16</v>
      </c>
      <c r="B10" s="6">
        <f>IF(B4=0,0,B5/B4)</f>
        <v>0.10344827586206896</v>
      </c>
      <c r="D10" s="2" t="s">
        <v>17</v>
      </c>
      <c r="E10" s="2">
        <f ca="1">COUNTIFS('Action Checklist'!H3:H200,"&lt;"&amp;TODAY(),'Action Checklist'!H3:H200,"&gt;0",'Action Checklist'!F3:F200,"&lt;&gt;Completed")</f>
        <v>0</v>
      </c>
    </row>
    <row r="11" spans="1:6">
      <c r="D11" s="2" t="s">
        <v>18</v>
      </c>
      <c r="E11" s="2">
        <f ca="1">COUNTIFS('Action Checklist'!H3:H200,"&gt;="&amp;TODAY(),'Action Checklist'!H3:H200,"&lt;="&amp;TODAY()+7,'Action Checklist'!F3:F200,"&lt;&gt;Completed")</f>
        <v>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topLeftCell="A11" workbookViewId="0">
      <selection activeCell="D10" sqref="D10"/>
    </sheetView>
  </sheetViews>
  <sheetFormatPr defaultRowHeight="13.8"/>
  <cols>
    <col min="1" max="1" width="7" customWidth="1"/>
    <col min="2" max="2" width="30" customWidth="1"/>
    <col min="3" max="3" width="42" customWidth="1"/>
    <col min="4" max="4" width="48" customWidth="1"/>
    <col min="5" max="5" width="12" customWidth="1"/>
    <col min="6" max="6" width="15" customWidth="1"/>
    <col min="7" max="7" width="38" customWidth="1"/>
    <col min="8" max="8" width="14" customWidth="1"/>
    <col min="9" max="9" width="18" customWidth="1"/>
  </cols>
  <sheetData>
    <row r="1" spans="1:9" ht="22.35" customHeight="1">
      <c r="A1" s="7" t="s">
        <v>19</v>
      </c>
      <c r="B1" s="7"/>
      <c r="C1" s="7"/>
      <c r="D1" s="7"/>
      <c r="E1" s="7"/>
      <c r="F1" s="7"/>
      <c r="G1" s="7"/>
      <c r="H1" s="7"/>
      <c r="I1" s="7"/>
    </row>
    <row r="2" spans="1:9" ht="27.15" customHeight="1">
      <c r="A2" s="1" t="s">
        <v>20</v>
      </c>
      <c r="B2" s="1" t="s">
        <v>21</v>
      </c>
      <c r="C2" s="1" t="s">
        <v>22</v>
      </c>
      <c r="D2" s="1" t="s">
        <v>23</v>
      </c>
      <c r="E2" s="1" t="s">
        <v>3</v>
      </c>
      <c r="F2" s="1" t="s">
        <v>24</v>
      </c>
      <c r="G2" s="1" t="s">
        <v>25</v>
      </c>
      <c r="H2" s="1" t="s">
        <v>26</v>
      </c>
      <c r="I2" s="1" t="s">
        <v>27</v>
      </c>
    </row>
    <row r="3" spans="1:9" ht="38.4" customHeight="1">
      <c r="A3" s="4">
        <v>1</v>
      </c>
      <c r="B3" s="3" t="s">
        <v>28</v>
      </c>
      <c r="C3" s="3" t="s">
        <v>29</v>
      </c>
      <c r="D3" s="3" t="s">
        <v>30</v>
      </c>
      <c r="E3" s="4" t="s">
        <v>8</v>
      </c>
      <c r="F3" s="4" t="s">
        <v>14</v>
      </c>
      <c r="G3" s="3" t="s">
        <v>31</v>
      </c>
      <c r="H3" s="5"/>
      <c r="I3" s="4"/>
    </row>
    <row r="4" spans="1:9" ht="38.4" customHeight="1">
      <c r="A4" s="4">
        <v>2</v>
      </c>
      <c r="B4" s="3" t="s">
        <v>28</v>
      </c>
      <c r="C4" s="3" t="s">
        <v>32</v>
      </c>
      <c r="D4" s="3" t="s">
        <v>33</v>
      </c>
      <c r="E4" s="4" t="s">
        <v>8</v>
      </c>
      <c r="F4" s="4" t="s">
        <v>14</v>
      </c>
      <c r="G4" s="3" t="s">
        <v>34</v>
      </c>
      <c r="H4" s="5"/>
      <c r="I4" s="4"/>
    </row>
    <row r="5" spans="1:9" ht="38.4" customHeight="1">
      <c r="A5" s="4">
        <v>3</v>
      </c>
      <c r="B5" s="3" t="s">
        <v>35</v>
      </c>
      <c r="C5" s="3" t="s">
        <v>36</v>
      </c>
      <c r="D5" s="3" t="s">
        <v>37</v>
      </c>
      <c r="E5" s="4" t="s">
        <v>6</v>
      </c>
      <c r="F5" s="4" t="s">
        <v>14</v>
      </c>
      <c r="G5" s="3" t="s">
        <v>38</v>
      </c>
      <c r="H5" s="5"/>
      <c r="I5" s="4"/>
    </row>
    <row r="6" spans="1:9" ht="38.4" customHeight="1">
      <c r="A6" s="4">
        <v>4</v>
      </c>
      <c r="B6" s="3" t="s">
        <v>35</v>
      </c>
      <c r="C6" s="3" t="s">
        <v>39</v>
      </c>
      <c r="D6" s="3" t="s">
        <v>40</v>
      </c>
      <c r="E6" s="4" t="s">
        <v>6</v>
      </c>
      <c r="F6" s="4" t="s">
        <v>14</v>
      </c>
      <c r="G6" s="3" t="s">
        <v>41</v>
      </c>
      <c r="H6" s="5"/>
      <c r="I6" s="4"/>
    </row>
    <row r="7" spans="1:9" ht="38.4" customHeight="1">
      <c r="A7" s="4">
        <v>5</v>
      </c>
      <c r="B7" s="3" t="s">
        <v>35</v>
      </c>
      <c r="C7" s="3" t="s">
        <v>42</v>
      </c>
      <c r="D7" s="3" t="s">
        <v>43</v>
      </c>
      <c r="E7" s="4" t="s">
        <v>8</v>
      </c>
      <c r="F7" s="4" t="s">
        <v>14</v>
      </c>
      <c r="G7" s="3" t="s">
        <v>44</v>
      </c>
      <c r="H7" s="5"/>
      <c r="I7" s="4"/>
    </row>
    <row r="8" spans="1:9" ht="38.4" customHeight="1">
      <c r="A8" s="4">
        <v>6</v>
      </c>
      <c r="B8" s="3" t="s">
        <v>35</v>
      </c>
      <c r="C8" s="3" t="s">
        <v>45</v>
      </c>
      <c r="D8" s="3" t="s">
        <v>46</v>
      </c>
      <c r="E8" s="4" t="s">
        <v>8</v>
      </c>
      <c r="F8" s="4" t="s">
        <v>14</v>
      </c>
      <c r="G8" s="3" t="s">
        <v>47</v>
      </c>
      <c r="H8" s="5"/>
      <c r="I8" s="4"/>
    </row>
    <row r="9" spans="1:9" ht="38.4" customHeight="1">
      <c r="A9" s="4">
        <v>7</v>
      </c>
      <c r="B9" s="3" t="s">
        <v>48</v>
      </c>
      <c r="C9" s="3" t="s">
        <v>49</v>
      </c>
      <c r="D9" s="3" t="s">
        <v>50</v>
      </c>
      <c r="E9" s="4" t="s">
        <v>8</v>
      </c>
      <c r="F9" s="4" t="s">
        <v>14</v>
      </c>
      <c r="G9" s="3" t="s">
        <v>51</v>
      </c>
      <c r="H9" s="5"/>
      <c r="I9" s="4"/>
    </row>
    <row r="10" spans="1:9" ht="38.4" customHeight="1">
      <c r="A10" s="4">
        <v>8</v>
      </c>
      <c r="B10" s="3" t="s">
        <v>48</v>
      </c>
      <c r="C10" s="3" t="s">
        <v>52</v>
      </c>
      <c r="D10" s="3" t="s">
        <v>53</v>
      </c>
      <c r="E10" s="4" t="s">
        <v>6</v>
      </c>
      <c r="F10" s="4" t="s">
        <v>14</v>
      </c>
      <c r="G10" s="3" t="s">
        <v>54</v>
      </c>
      <c r="H10" s="5"/>
      <c r="I10" s="4"/>
    </row>
    <row r="11" spans="1:9" ht="38.4" customHeight="1">
      <c r="A11" s="4">
        <v>9</v>
      </c>
      <c r="B11" s="3" t="s">
        <v>48</v>
      </c>
      <c r="C11" s="3" t="s">
        <v>55</v>
      </c>
      <c r="D11" s="3" t="s">
        <v>56</v>
      </c>
      <c r="E11" s="4" t="s">
        <v>8</v>
      </c>
      <c r="F11" s="4" t="s">
        <v>14</v>
      </c>
      <c r="G11" s="3" t="s">
        <v>57</v>
      </c>
      <c r="H11" s="5"/>
      <c r="I11" s="4"/>
    </row>
    <row r="12" spans="1:9" ht="38.4" customHeight="1">
      <c r="A12" s="4">
        <v>10</v>
      </c>
      <c r="B12" s="3" t="s">
        <v>58</v>
      </c>
      <c r="C12" s="3" t="s">
        <v>59</v>
      </c>
      <c r="D12" s="3" t="s">
        <v>60</v>
      </c>
      <c r="E12" s="4" t="s">
        <v>6</v>
      </c>
      <c r="F12" s="4" t="s">
        <v>14</v>
      </c>
      <c r="G12" s="3" t="s">
        <v>61</v>
      </c>
      <c r="H12" s="5"/>
      <c r="I12" s="4"/>
    </row>
    <row r="13" spans="1:9" ht="38.4" customHeight="1">
      <c r="A13" s="4">
        <v>11</v>
      </c>
      <c r="B13" s="3" t="s">
        <v>58</v>
      </c>
      <c r="C13" s="3" t="s">
        <v>62</v>
      </c>
      <c r="D13" s="3" t="s">
        <v>63</v>
      </c>
      <c r="E13" s="4" t="s">
        <v>8</v>
      </c>
      <c r="F13" s="4" t="s">
        <v>14</v>
      </c>
      <c r="G13" s="3" t="s">
        <v>64</v>
      </c>
      <c r="H13" s="5"/>
      <c r="I13" s="4"/>
    </row>
    <row r="14" spans="1:9" ht="38.4" customHeight="1">
      <c r="A14" s="4">
        <v>12</v>
      </c>
      <c r="B14" s="3" t="s">
        <v>58</v>
      </c>
      <c r="C14" s="3" t="s">
        <v>65</v>
      </c>
      <c r="D14" s="3" t="s">
        <v>66</v>
      </c>
      <c r="E14" s="4" t="s">
        <v>6</v>
      </c>
      <c r="F14" s="4" t="s">
        <v>14</v>
      </c>
      <c r="G14" s="3" t="s">
        <v>67</v>
      </c>
      <c r="H14" s="5"/>
      <c r="I14" s="4"/>
    </row>
    <row r="15" spans="1:9" ht="38.4" customHeight="1">
      <c r="A15" s="4">
        <v>13</v>
      </c>
      <c r="B15" s="3" t="s">
        <v>68</v>
      </c>
      <c r="C15" s="3" t="s">
        <v>69</v>
      </c>
      <c r="D15" s="3" t="s">
        <v>70</v>
      </c>
      <c r="E15" s="4" t="s">
        <v>6</v>
      </c>
      <c r="F15" s="4" t="s">
        <v>14</v>
      </c>
      <c r="G15" s="3" t="s">
        <v>71</v>
      </c>
      <c r="H15" s="5"/>
      <c r="I15" s="4"/>
    </row>
    <row r="16" spans="1:9" ht="38.4" customHeight="1">
      <c r="A16" s="4">
        <v>14</v>
      </c>
      <c r="B16" s="3" t="s">
        <v>72</v>
      </c>
      <c r="C16" s="3" t="s">
        <v>73</v>
      </c>
      <c r="D16" s="3" t="s">
        <v>74</v>
      </c>
      <c r="E16" s="4" t="s">
        <v>8</v>
      </c>
      <c r="F16" s="4" t="s">
        <v>14</v>
      </c>
      <c r="G16" s="3" t="s">
        <v>75</v>
      </c>
      <c r="H16" s="5"/>
      <c r="I16" s="4"/>
    </row>
    <row r="17" spans="1:9" ht="38.4" customHeight="1">
      <c r="A17" s="4">
        <v>15</v>
      </c>
      <c r="B17" s="3" t="s">
        <v>72</v>
      </c>
      <c r="C17" s="3" t="s">
        <v>76</v>
      </c>
      <c r="D17" s="3" t="s">
        <v>77</v>
      </c>
      <c r="E17" s="4" t="s">
        <v>8</v>
      </c>
      <c r="F17" s="4" t="s">
        <v>14</v>
      </c>
      <c r="G17" s="3" t="s">
        <v>78</v>
      </c>
      <c r="H17" s="5"/>
      <c r="I17" s="4"/>
    </row>
    <row r="18" spans="1:9" ht="38.4" customHeight="1">
      <c r="A18" s="4">
        <v>16</v>
      </c>
      <c r="B18" s="3" t="s">
        <v>72</v>
      </c>
      <c r="C18" s="3" t="s">
        <v>79</v>
      </c>
      <c r="D18" s="3" t="s">
        <v>80</v>
      </c>
      <c r="E18" s="4" t="s">
        <v>8</v>
      </c>
      <c r="F18" s="4" t="s">
        <v>14</v>
      </c>
      <c r="G18" s="3" t="s">
        <v>75</v>
      </c>
      <c r="H18" s="5"/>
      <c r="I18" s="4"/>
    </row>
    <row r="19" spans="1:9" ht="38.4" customHeight="1">
      <c r="A19" s="4">
        <v>17</v>
      </c>
      <c r="B19" s="3" t="s">
        <v>72</v>
      </c>
      <c r="C19" s="3" t="s">
        <v>81</v>
      </c>
      <c r="D19" s="3" t="s">
        <v>82</v>
      </c>
      <c r="E19" s="4" t="s">
        <v>8</v>
      </c>
      <c r="F19" s="4" t="s">
        <v>14</v>
      </c>
      <c r="G19" s="3" t="s">
        <v>83</v>
      </c>
      <c r="H19" s="5"/>
      <c r="I19" s="4"/>
    </row>
    <row r="20" spans="1:9" ht="38.4" customHeight="1">
      <c r="A20" s="4">
        <v>18</v>
      </c>
      <c r="B20" s="3" t="s">
        <v>84</v>
      </c>
      <c r="C20" s="3" t="s">
        <v>85</v>
      </c>
      <c r="D20" s="3" t="s">
        <v>86</v>
      </c>
      <c r="E20" s="4" t="s">
        <v>8</v>
      </c>
      <c r="F20" s="4" t="s">
        <v>14</v>
      </c>
      <c r="G20" s="3" t="s">
        <v>87</v>
      </c>
      <c r="H20" s="5"/>
      <c r="I20" s="4"/>
    </row>
    <row r="21" spans="1:9" ht="38.4" customHeight="1">
      <c r="A21" s="4">
        <v>19</v>
      </c>
      <c r="B21" s="3" t="s">
        <v>84</v>
      </c>
      <c r="C21" s="3" t="s">
        <v>88</v>
      </c>
      <c r="D21" s="3" t="s">
        <v>89</v>
      </c>
      <c r="E21" s="4" t="s">
        <v>8</v>
      </c>
      <c r="F21" s="4" t="s">
        <v>14</v>
      </c>
      <c r="G21" s="3" t="s">
        <v>90</v>
      </c>
      <c r="H21" s="5"/>
      <c r="I21" s="4"/>
    </row>
    <row r="22" spans="1:9" ht="38.4" customHeight="1">
      <c r="A22" s="4">
        <v>20</v>
      </c>
      <c r="B22" s="3" t="s">
        <v>91</v>
      </c>
      <c r="C22" s="3" t="s">
        <v>92</v>
      </c>
      <c r="D22" s="3" t="s">
        <v>93</v>
      </c>
      <c r="E22" s="4" t="s">
        <v>8</v>
      </c>
      <c r="F22" s="4" t="s">
        <v>14</v>
      </c>
      <c r="G22" s="3" t="s">
        <v>94</v>
      </c>
      <c r="H22" s="5"/>
      <c r="I22" s="4"/>
    </row>
    <row r="23" spans="1:9" ht="38.4" customHeight="1">
      <c r="A23" s="4">
        <v>21</v>
      </c>
      <c r="B23" s="3" t="s">
        <v>91</v>
      </c>
      <c r="C23" s="3" t="s">
        <v>95</v>
      </c>
      <c r="D23" s="3" t="s">
        <v>96</v>
      </c>
      <c r="E23" s="4" t="s">
        <v>8</v>
      </c>
      <c r="F23" s="4" t="s">
        <v>14</v>
      </c>
      <c r="G23" s="3" t="s">
        <v>97</v>
      </c>
      <c r="H23" s="5"/>
      <c r="I23" s="4"/>
    </row>
    <row r="24" spans="1:9" ht="38.4" customHeight="1">
      <c r="A24" s="4">
        <v>22</v>
      </c>
      <c r="B24" s="3" t="s">
        <v>91</v>
      </c>
      <c r="C24" s="3" t="s">
        <v>98</v>
      </c>
      <c r="D24" s="3" t="s">
        <v>99</v>
      </c>
      <c r="E24" s="4" t="s">
        <v>8</v>
      </c>
      <c r="F24" s="4" t="s">
        <v>14</v>
      </c>
      <c r="G24" s="3" t="s">
        <v>100</v>
      </c>
      <c r="H24" s="5"/>
      <c r="I24" s="4"/>
    </row>
    <row r="25" spans="1:9" ht="38.4" customHeight="1">
      <c r="A25" s="4">
        <v>23</v>
      </c>
      <c r="B25" s="3" t="s">
        <v>91</v>
      </c>
      <c r="C25" s="3" t="s">
        <v>101</v>
      </c>
      <c r="D25" s="3" t="s">
        <v>102</v>
      </c>
      <c r="E25" s="4" t="s">
        <v>6</v>
      </c>
      <c r="F25" s="4" t="s">
        <v>14</v>
      </c>
      <c r="G25" s="3" t="s">
        <v>103</v>
      </c>
      <c r="H25" s="5"/>
      <c r="I25" s="4"/>
    </row>
    <row r="26" spans="1:9" ht="38.4" customHeight="1">
      <c r="A26" s="4">
        <v>24</v>
      </c>
      <c r="B26" s="3" t="s">
        <v>104</v>
      </c>
      <c r="C26" s="3" t="s">
        <v>105</v>
      </c>
      <c r="D26" s="3" t="s">
        <v>106</v>
      </c>
      <c r="E26" s="4" t="s">
        <v>8</v>
      </c>
      <c r="F26" s="4" t="s">
        <v>7</v>
      </c>
      <c r="G26" s="3" t="s">
        <v>107</v>
      </c>
      <c r="H26" s="5"/>
      <c r="I26" s="4"/>
    </row>
    <row r="27" spans="1:9" ht="38.4" customHeight="1">
      <c r="A27" s="4">
        <v>25</v>
      </c>
      <c r="B27" s="3" t="s">
        <v>104</v>
      </c>
      <c r="C27" s="3" t="s">
        <v>108</v>
      </c>
      <c r="D27" s="3" t="s">
        <v>109</v>
      </c>
      <c r="E27" s="4" t="s">
        <v>8</v>
      </c>
      <c r="F27" s="4" t="s">
        <v>7</v>
      </c>
      <c r="G27" s="3" t="s">
        <v>110</v>
      </c>
      <c r="H27" s="5"/>
      <c r="I27" s="4"/>
    </row>
    <row r="28" spans="1:9" ht="38.4" customHeight="1">
      <c r="A28" s="4">
        <v>26</v>
      </c>
      <c r="B28" s="3" t="s">
        <v>104</v>
      </c>
      <c r="C28" s="3" t="s">
        <v>111</v>
      </c>
      <c r="D28" s="3" t="s">
        <v>112</v>
      </c>
      <c r="E28" s="4" t="s">
        <v>8</v>
      </c>
      <c r="F28" s="4" t="s">
        <v>14</v>
      </c>
      <c r="G28" s="3" t="s">
        <v>113</v>
      </c>
      <c r="H28" s="5"/>
      <c r="I28" s="4"/>
    </row>
    <row r="29" spans="1:9" ht="38.4" customHeight="1">
      <c r="A29" s="4">
        <v>27</v>
      </c>
      <c r="B29" s="3" t="s">
        <v>104</v>
      </c>
      <c r="C29" s="3" t="s">
        <v>114</v>
      </c>
      <c r="D29" s="3" t="s">
        <v>115</v>
      </c>
      <c r="E29" s="4" t="s">
        <v>8</v>
      </c>
      <c r="F29" s="4" t="s">
        <v>14</v>
      </c>
      <c r="G29" s="3" t="s">
        <v>116</v>
      </c>
      <c r="H29" s="5"/>
      <c r="I29" s="4"/>
    </row>
    <row r="30" spans="1:9" ht="38.4" customHeight="1">
      <c r="A30" s="4">
        <v>28</v>
      </c>
      <c r="B30" s="3" t="s">
        <v>104</v>
      </c>
      <c r="C30" s="3" t="s">
        <v>117</v>
      </c>
      <c r="D30" s="3" t="s">
        <v>118</v>
      </c>
      <c r="E30" s="4" t="s">
        <v>10</v>
      </c>
      <c r="F30" s="4" t="s">
        <v>7</v>
      </c>
      <c r="G30" s="3" t="s">
        <v>119</v>
      </c>
      <c r="H30" s="5"/>
      <c r="I30" s="4"/>
    </row>
    <row r="31" spans="1:9" ht="38.4" customHeight="1">
      <c r="A31" s="4">
        <v>29</v>
      </c>
      <c r="B31" s="3" t="s">
        <v>120</v>
      </c>
      <c r="C31" s="3" t="s">
        <v>121</v>
      </c>
      <c r="D31" s="3" t="s">
        <v>122</v>
      </c>
      <c r="E31" s="4" t="s">
        <v>6</v>
      </c>
      <c r="F31" s="4" t="s">
        <v>14</v>
      </c>
      <c r="G31" s="3" t="s">
        <v>123</v>
      </c>
      <c r="H31" s="5"/>
      <c r="I31" s="4"/>
    </row>
  </sheetData>
  <mergeCells count="1">
    <mergeCell ref="A1:I1"/>
  </mergeCells>
  <conditionalFormatting sqref="E3:E200">
    <cfRule type="expression" dxfId="6" priority="5">
      <formula>E3="Critical"</formula>
    </cfRule>
    <cfRule type="expression" dxfId="5" priority="6">
      <formula>E3="High"</formula>
    </cfRule>
  </conditionalFormatting>
  <conditionalFormatting sqref="F3:F200">
    <cfRule type="expression" dxfId="4" priority="1">
      <formula>F3="Completed"</formula>
    </cfRule>
    <cfRule type="expression" dxfId="3" priority="2">
      <formula>F3="In Progress"</formula>
    </cfRule>
    <cfRule type="expression" dxfId="2" priority="3">
      <formula>F3="Blocked"</formula>
    </cfRule>
    <cfRule type="expression" dxfId="1" priority="4">
      <formula>F3="Under Review"</formula>
    </cfRule>
  </conditionalFormatting>
  <conditionalFormatting sqref="H3:H200">
    <cfRule type="expression" dxfId="0" priority="7">
      <formula>AND(H3&lt;TODAY(),H3&lt;&gt;"",F3&lt;&gt;"Completed")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Lists!$A$2:$A$6</xm:f>
          </x14:formula1>
          <xm:sqref>F3:F200</xm:sqref>
        </x14:dataValidation>
        <x14:dataValidation type="list" xr:uid="{00000000-0002-0000-0100-000001000000}">
          <x14:formula1>
            <xm:f>Lists!$B$2:$B$4</xm:f>
          </x14:formula1>
          <xm:sqref>E3:E200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8"/>
  <sheetData>
    <row r="1" spans="1:2">
      <c r="A1" s="1" t="s">
        <v>24</v>
      </c>
      <c r="B1" s="1" t="s">
        <v>3</v>
      </c>
    </row>
    <row r="2" spans="1:2" ht="27.6">
      <c r="A2" s="2" t="s">
        <v>14</v>
      </c>
      <c r="B2" s="2" t="s">
        <v>6</v>
      </c>
    </row>
    <row r="3" spans="1:2" ht="27.6">
      <c r="A3" s="2" t="s">
        <v>9</v>
      </c>
      <c r="B3" s="2" t="s">
        <v>8</v>
      </c>
    </row>
    <row r="4" spans="1:2">
      <c r="A4" s="2" t="s">
        <v>11</v>
      </c>
      <c r="B4" s="2" t="s">
        <v>10</v>
      </c>
    </row>
    <row r="5" spans="1:2" ht="27.6">
      <c r="A5" s="2" t="s">
        <v>12</v>
      </c>
      <c r="B5" s="2"/>
    </row>
    <row r="6" spans="1:2" ht="27.6">
      <c r="A6" s="2" t="s">
        <v>7</v>
      </c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Action Checklist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Gamal</cp:lastModifiedBy>
  <dcterms:modified xsi:type="dcterms:W3CDTF">2026-08-04T13:54:44Z</dcterms:modified>
</cp:coreProperties>
</file>