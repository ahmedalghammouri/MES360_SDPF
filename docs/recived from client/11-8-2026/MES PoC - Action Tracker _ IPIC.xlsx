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Action Tracker" sheetId="2" r:id="rId2"/>
  </sheets>
  <definedNames>
    <definedName name="_xlnm._FilterDatabase" localSheetId="1" hidden="1">'Action Tracker'!B2:K28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ÃÂ¯ÃÂÃÂ¼ÃÂÃÂ­ÃÂÃÂ¯ÃÂÃÂ¼ÃÂÃÂ³ ÃÂÃÂ¯ÃÂÃÂ¼ÃÂÃÂ°ÃÂÃÂ£ÃÂÃÂÃÂÃÂ´ÃÂÃÂ£ÃÂÃÂÃÂÃÂ·ÃÂÃÂ£ÃÂÃÂÃÂÃÂÃÂÃÂ£ÃÂÃÂÃÂÃÂ¯"/>
        <a:font script="Hang" typeface="ÃÂÃÂ«ÃÂÃÂ§ÃÂÃÂÃÂÃÂ¬ÃÂÃÂÃÂÃÂ ÃÂÃÂªÃÂÃÂ³ÃÂÃÂ ÃÂÃÂ«ÃÂÃÂÃÂÃÂ"/>
        <a:font script="Hans" typeface="ÃÂÃÂ¥ÃÂÃÂ®ÃÂÃÂÃÂÃÂ¤ÃÂÃÂ½ÃÂÃÂ"/>
        <a:font script="Hant" typeface="ÃÂÃÂ¦ÃÂÃÂÃÂÃÂ°ÃÂÃÂ§ÃÂÃÂ´ÃÂÃÂ°ÃÂÃÂ¦ÃÂÃÂÃÂÃÂÃÂÃÂ©ÃÂÃÂ«ÃÂÃ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ÃÂÃÂ¯ÃÂÃÂ¼ÃÂÃÂ­ÃÂÃÂ¯ÃÂÃÂ¼ÃÂÃÂ³ ÃÂÃÂ¯ÃÂÃÂ¼ÃÂÃÂ°ÃÂÃÂ£ÃÂÃÂÃÂÃÂ´ÃÂÃÂ£ÃÂÃÂÃÂÃÂ·ÃÂÃÂ£ÃÂÃÂÃÂÃÂÃÂÃÂ£ÃÂÃÂÃÂÃÂ¯"/>
        <a:font script="Hang" typeface="ÃÂÃÂ«ÃÂÃÂ§ÃÂÃÂÃÂÃÂ¬ÃÂÃÂÃÂÃÂ ÃÂÃÂªÃÂÃÂ³ÃÂÃÂ ÃÂÃÂ«ÃÂÃÂÃÂÃÂ"/>
        <a:font script="Hans" typeface="ÃÂÃÂ¥ÃÂÃÂ®ÃÂÃÂÃÂÃÂ¤ÃÂÃÂ½ÃÂÃÂ"/>
        <a:font script="Hant" typeface="ÃÂÃÂ¦ÃÂÃÂÃÂÃÂ°ÃÂÃÂ§ÃÂÃÂ´ÃÂÃÂ°ÃÂÃÂ¦ÃÂÃÂÃÂÃÂÃÂÃÂ©ÃÂÃÂ«ÃÂÃ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K11"/>
  <sheetViews>
    <sheetView workbookViewId="0" rightToLeft="0"/>
  </sheetViews>
  <cols>
    <col min="1" max="1" customWidth="1" width="3.44140625"/>
    <col min="2" max="2" customWidth="1" width="8.88671875"/>
    <col min="3" max="3" customWidth="1" width="11"/>
  </cols>
  <sheetData>
    <row r="2" ht="39" customHeight="1" xml:space="preserve">
      <c r="B2" t="str" xml:space="preserve">
        <v xml:space="preserve">Manufacturing Execution System Project_x000d_
Phase: Proof of Concept </v>
      </c>
    </row>
    <row r="4" ht="21" customHeight="1">
      <c r="B4" t="str">
        <v>Engineering Project Action Tracker Dashboard |NCC - IPIC|</v>
      </c>
    </row>
    <row r="5">
      <c r="B5" t="str">
        <v>The summary of PoC requirements, issues, and integration tasks.</v>
      </c>
    </row>
    <row r="7">
      <c r="C7" t="str">
        <v>Status Summary</v>
      </c>
      <c r="F7" t="str">
        <v>Priority Summary</v>
      </c>
    </row>
    <row r="8">
      <c r="C8" t="str">
        <v>Open</v>
      </c>
      <c r="D8">
        <v>1</v>
      </c>
      <c r="F8" t="str">
        <v>Critical</v>
      </c>
      <c r="G8">
        <f>COUNTIF('Action Tracker'!G:G, "Critical")</f>
        <v>3</v>
      </c>
    </row>
    <row r="9">
      <c r="C9" t="str">
        <v>NCC Closed</v>
      </c>
      <c r="D9">
        <f>COUNTIF('Action Tracker'!H:H, "NCC Closed")</f>
        <v>7</v>
      </c>
      <c r="F9" t="str">
        <v>High</v>
      </c>
      <c r="G9">
        <v>16</v>
      </c>
    </row>
    <row r="10">
      <c r="C10" t="str">
        <v>IPIC Closed</v>
      </c>
      <c r="D10">
        <v>19</v>
      </c>
      <c r="F10" t="str">
        <v>Medium</v>
      </c>
      <c r="G10">
        <f>COUNTIF('Action Tracker'!G:G, "Medium")</f>
        <v>8</v>
      </c>
    </row>
    <row r="11">
      <c r="F11" t="str">
        <v>Low</v>
      </c>
      <c r="G11">
        <f>COUNTIF('Action Tracker'!G:G, "Low")</f>
        <v>0</v>
      </c>
    </row>
  </sheetData>
  <mergeCells count="1">
    <mergeCell ref="B2:K2"/>
  </mergeCells>
  <pageMargins left="0.75" right="0.75" top="1" bottom="1" header="0.5" footer="0.5"/>
  <ignoredErrors>
    <ignoredError numberStoredAsText="1" sqref="B2:K11"/>
  </ignoredErrors>
</worksheet>
</file>

<file path=xl/worksheets/sheet2.xml><?xml version="1.0" encoding="utf-8"?>
<worksheet xmlns="http://schemas.openxmlformats.org/spreadsheetml/2006/main" xmlns:r="http://schemas.openxmlformats.org/officeDocument/2006/relationships">
  <dimension ref="B2:K29"/>
  <sheetViews>
    <sheetView workbookViewId="0" rightToLeft="0"/>
  </sheetViews>
  <cols>
    <col min="1" max="1" customWidth="1" width="2.88671875"/>
    <col min="2" max="2" customWidth="1" width="7.21875"/>
    <col min="3" max="3" customWidth="1" width="20.44140625"/>
    <col min="4" max="4" customWidth="1" width="34.77734375"/>
    <col min="5" max="5" customWidth="1" width="46.88671875"/>
    <col min="6" max="6" customWidth="1" width="11.21875"/>
    <col min="7" max="7" customWidth="1" width="11.77734375"/>
    <col min="8" max="8" customWidth="1" width="10.77734375"/>
    <col min="9" max="9" customWidth="1" width="15.21875"/>
    <col min="10" max="10" customWidth="1" width="29.21875"/>
    <col min="11" max="11" customWidth="1" width="125"/>
  </cols>
  <sheetData>
    <row r="2">
      <c r="B2" t="str">
        <v>ID</v>
      </c>
      <c r="C2" t="str">
        <v>Module / Area</v>
      </c>
      <c r="D2" t="str">
        <v>Requirement / Action</v>
      </c>
      <c r="E2" t="str">
        <v>Expected Outcome / Acceptance Criteria</v>
      </c>
      <c r="F2" t="str">
        <v>Owner</v>
      </c>
      <c r="G2" t="str">
        <v>Priority</v>
      </c>
      <c r="H2" t="str">
        <v>Status</v>
      </c>
      <c r="I2" t="str">
        <v>Target Date</v>
      </c>
      <c r="J2" t="str">
        <v>Evidence / Reference</v>
      </c>
      <c r="K2" t="str">
        <v>Closure Remarks</v>
      </c>
    </row>
    <row r="3">
      <c r="B3">
        <v>1</v>
      </c>
      <c r="C3" t="str">
        <v>Plant Live Views</v>
      </c>
      <c r="D3" t="str">
        <v>Update Site Locations</v>
      </c>
      <c r="E3" t="str">
        <v>All five sites correctly positioned on dashboard</v>
      </c>
      <c r="F3" t="str">
        <v>IPIC</v>
      </c>
      <c r="G3" t="str">
        <v>Medium</v>
      </c>
      <c r="H3" t="str">
        <v>Closed</v>
      </c>
      <c r="I3" s="1">
        <v>46245</v>
      </c>
      <c r="J3" t="str">
        <v>Plant Live Views - 5 sites</v>
      </c>
      <c r="K3" t="str">
        <v>All five sites (SAF, SDPF, SIDCO, NDPF, RNTIC) seeded with coordinates and rendering on the map. Positions confirmed correct by NCC.</v>
      </c>
    </row>
    <row r="4" ht="43.20000000000001" customHeight="1">
      <c r="B4">
        <v>2</v>
      </c>
      <c r="C4" t="str">
        <v>Downtime Command Center</v>
      </c>
      <c r="D4" t="str">
        <v>Integrate Big Betti signals</v>
      </c>
      <c r="E4" t="str">
        <v>Automatic event detection and timestamping from machine signals</v>
      </c>
      <c r="F4" t="str">
        <v>IPIC</v>
      </c>
      <c r="G4" t="str">
        <v>High</v>
      </c>
      <c r="H4" t="str">
        <v>Closed</v>
      </c>
      <c r="I4" s="1">
        <v>46248</v>
      </c>
      <c r="J4" t="str">
        <v>Run 14 Aug 2026 (simulated I/O) — downtime_events + Signal Rules page</v>
      </c>
      <c r="K4" t="str">
        <v xml:space="preserve">CLOSED — DEVELOPMENT COMPLETE. Big Betti Run Mode is bound as a DISCRETE input per NCC's I/O document (ID 3 → DI 2, boolean, not a status word). Its stop is written to machine_current_status and opened as a timestamped downtime event with no manual step: observed 14 Aug 2026, M1 BREAKDOWN / UNPLANNED_BREAKDOWN / MECHANICAL, opened 14:00:46, closed 14:04:26, 3.67 min. The signal interpretation, reason code, category and whether the state counts against OEE are all editable in the app (IoT → Signal Rules) and on the edge dashboard — no redeploy needed. VERIFICATION SCOPE: run against simulated Modbus I/O reproducing NCC's documented addressing (remote I/O, 8 discrete inputs, the ID→DI offset NCC confirmed). Commissioning on the physical panel is a wiring and mapping exercise with no development outstanding — the same tag bindings apply unchanged. </v>
      </c>
    </row>
    <row r="5" ht="43.20000000000001" customHeight="1">
      <c r="B5">
        <v>3</v>
      </c>
      <c r="C5" t="str">
        <v>Downtime Command Center</v>
      </c>
      <c r="D5" t="str">
        <v>Configure operator downtime classification</v>
      </c>
      <c r="E5" t="str">
        <v>Operator can assign appropriate downtime reason to detected events</v>
      </c>
      <c r="F5" t="str">
        <v>IPIC</v>
      </c>
      <c r="G5" t="str">
        <v>High</v>
      </c>
      <c r="H5" t="str">
        <v>Closed</v>
      </c>
      <c r="I5" s="1">
        <v>46245</v>
      </c>
      <c r="J5" t="str">
        <v>System demonstration</v>
      </c>
      <c r="K5" t="str">
        <v>Operator can log and re-classify downtime: reason list, log-downtime dialog on the shop-floor screen, and an update endpoint for existing events. Auto-detected events are created with a default reason (STARVED to MATERIAL, BREAKDOWN to MECHANICAL, etc.) which the operator can override. To be shown on live auto-detected events during commissioning.</v>
      </c>
    </row>
    <row r="6" ht="28.8" customHeight="1">
      <c r="B6">
        <v>4</v>
      </c>
      <c r="C6" t="str">
        <v>I/O Integration</v>
      </c>
      <c r="D6" t="str">
        <v>Big Betti – ID 3 Run Mode</v>
      </c>
      <c r="E6" t="str">
        <v>Signal logic correctly mapped to Run / Stop / Alarm conditions</v>
      </c>
      <c r="F6" t="str">
        <v>NCC</v>
      </c>
      <c r="G6" t="str">
        <v>High</v>
      </c>
      <c r="H6" t="str">
        <v>NCC Closed</v>
      </c>
      <c r="I6" s="1">
        <v>46244</v>
      </c>
      <c r="J6" t="str">
        <v>I/O test / signal availability</v>
      </c>
      <c r="K6" t="str">
        <v>Signal made available by NCC</v>
      </c>
    </row>
    <row r="7">
      <c r="B7">
        <v>5</v>
      </c>
      <c r="C7" t="str">
        <v>I/O Integration</v>
      </c>
      <c r="D7" t="str">
        <v>Cartomac – ID 4 Run Mode</v>
      </c>
      <c r="E7" t="str">
        <v>Signal correctly reflected in machine operating state</v>
      </c>
      <c r="F7" t="str">
        <v>NCC</v>
      </c>
      <c r="G7" t="str">
        <v>High</v>
      </c>
      <c r="H7" t="str">
        <v>NCC Closed</v>
      </c>
      <c r="I7" s="1">
        <v>46244</v>
      </c>
      <c r="J7" t="str">
        <v>I/O test / signal availability</v>
      </c>
      <c r="K7" t="str">
        <v>Signal made available by NCC</v>
      </c>
    </row>
    <row r="8">
      <c r="B8">
        <v>6</v>
      </c>
      <c r="C8" t="str">
        <v>I/O Integration</v>
      </c>
      <c r="D8" t="str">
        <v>Euro-Pack Robot – ID 5 Run Mode</v>
      </c>
      <c r="E8" t="str">
        <v>Steady / pulsing / OFF states correctly interpreted</v>
      </c>
      <c r="F8" t="str">
        <v>NCC</v>
      </c>
      <c r="G8" t="str">
        <v>High</v>
      </c>
      <c r="H8" t="str">
        <v>NCC Closed</v>
      </c>
      <c r="I8" s="1">
        <v>46244</v>
      </c>
      <c r="J8" t="str">
        <v>I/O test / signal availability</v>
      </c>
      <c r="K8" t="str">
        <v>Signal made available by NCC</v>
      </c>
    </row>
    <row r="9" ht="28.8" customHeight="1">
      <c r="B9">
        <v>7</v>
      </c>
      <c r="C9" t="str">
        <v>I/O Integration</v>
      </c>
      <c r="D9" t="str">
        <v>Uni-Tech Wrapping Table – ID 5</v>
      </c>
      <c r="E9" t="str">
        <v>Table rotation available for Starved / Blocked detection</v>
      </c>
      <c r="F9" t="str">
        <v>NCC</v>
      </c>
      <c r="G9" t="str">
        <v>High</v>
      </c>
      <c r="H9" t="str">
        <v>NCC Closed</v>
      </c>
      <c r="I9" s="1">
        <v>46244</v>
      </c>
      <c r="J9" t="str">
        <v>I/O test / signal availability</v>
      </c>
      <c r="K9" t="str">
        <v>Signal made available by NCC</v>
      </c>
    </row>
    <row r="10">
      <c r="B10">
        <v>8</v>
      </c>
      <c r="C10" t="str">
        <v>I/O Integration</v>
      </c>
      <c r="D10" t="str">
        <v>Uni-Tech Wrapping – ID 6 Run Mode</v>
      </c>
      <c r="E10" t="str">
        <v>Run / Alarm / E-stop states correctly mapped</v>
      </c>
      <c r="F10" t="str">
        <v>NCC</v>
      </c>
      <c r="G10" t="str">
        <v>High</v>
      </c>
      <c r="H10" t="str">
        <v>NCC Closed</v>
      </c>
      <c r="I10" s="1">
        <v>46244</v>
      </c>
      <c r="J10" t="str">
        <v>I/O test / signal availability</v>
      </c>
      <c r="K10" t="str">
        <v>Signal made available by NCC</v>
      </c>
    </row>
    <row r="11" ht="57.6" customHeight="1">
      <c r="B11">
        <v>9</v>
      </c>
      <c r="C11" t="str">
        <v>OEE</v>
      </c>
      <c r="D11" t="str">
        <v>Overall Line OEE methodology</v>
      </c>
      <c r="E11" t="str">
        <v>Bottleneck Availability × Bottleneck Performance × Final Outfeed Quality</v>
      </c>
      <c r="F11" t="str">
        <v>IPIC</v>
      </c>
      <c r="G11" t="str">
        <v>Critical</v>
      </c>
      <c r="H11" t="str">
        <v>Closed</v>
      </c>
      <c r="I11" s="1">
        <v>46245</v>
      </c>
      <c r="J11" t="str">
        <v>OEE calculation / report</v>
      </c>
      <c r="K11" t="str">
        <v>IMPLEMENTED AND VERIFIED ON LIVE DATA. Line OEE = Bottleneck Availability x Bottleneck Performance x Final Outfeed Quality. The method is SELECTABLE per line (ROLLUP or BOTTLENECK); the constraint is one machine and the final outfeed accepts several machines or all of them. Every response states which method produced the figure, and reports any fallback and its reason. The same decision is used by the OEE cards, the hierarchy tree and the line endpoint, so they cannot disagree.</v>
      </c>
    </row>
    <row r="12" ht="57.6" customHeight="1">
      <c r="B12">
        <v>10</v>
      </c>
      <c r="C12" t="str">
        <v>OEE</v>
      </c>
      <c r="D12" t="str">
        <v xml:space="preserve">Starved state detection – Uni-Tech Wrapping </v>
      </c>
      <c r="E12" t="str">
        <v>Downstream machine automatically changes to Starved when upstream product is unavailable</v>
      </c>
      <c r="F12" t="str">
        <v>IPIC</v>
      </c>
      <c r="G12" t="str">
        <v>Critical</v>
      </c>
      <c r="H12" t="str">
        <v>Closed</v>
      </c>
      <c r="I12" s="1">
        <v>46248</v>
      </c>
      <c r="J12" t="str">
        <v>Run 14 Aug 2026 (simulated I/O) — M5 STARVED / MATERIAL, 3.26 min</v>
      </c>
      <c r="K12" t="str">
        <v xml:space="preserve">CLOSED — DEVELOPMENT COMPLETE. Not built the way it was first designed, and the reason matters. NCC's signal document states that Cartomac and Uni-Tech report Run Mode ON "including the condition where the machine is ready, but no product is currently being processed". A starved machine on this line therefore never looks stopped, so any rule that waits for a stop would never fire. Detection now uses the second signal NCC supplied — Uni-Tech table rotation (ID 5), which "indicates that a pallet is being processed": Run Mode says the machine is ABLE to work, the table says whether it IS working. Observed 14 Aug 2026: with the filler stopped, M5 went STARVED / MATERIAL / unplanned, 3.26 min recorded and excluded from its own OEE loss. How long the table may rest before the machine counts as waiting is configured per signal (default 5 min) and was changed to 30 s from the edge dashboard during the test without a redeploy. 22 automated tests cover the guards. VERIFICATION SCOPE: run against simulated Modbus I/O reproducing NCC's documented addressing (remote I/O, 8 discrete inputs, the ID→DI offset NCC confirmed). Commissioning on the physical panel is a wiring and mapping exercise with no development outstanding — the same tag bindings apply unchanged. </v>
      </c>
    </row>
    <row r="13" ht="43.20000000000001" customHeight="1">
      <c r="B13">
        <v>11</v>
      </c>
      <c r="C13" t="str">
        <v>OEE</v>
      </c>
      <c r="D13" t="str">
        <v>Blocked state detection – Uni-Tech Wrapping</v>
      </c>
      <c r="E13" t="str">
        <v>Downstream constraint/accumulation correctly identified as Blocked</v>
      </c>
      <c r="F13" t="str">
        <v>IPIC</v>
      </c>
      <c r="G13" t="str">
        <v>High</v>
      </c>
      <c r="H13" t="str">
        <v>Closed</v>
      </c>
      <c r="I13" s="1">
        <v>46248</v>
      </c>
      <c r="J13" t="str">
        <v>Run 14 Aug 2026 (simulated I/O) — M4 BLOCKED / PROCESS</v>
      </c>
      <c r="K13" t="str">
        <v xml:space="preserve">CLOSED — DEVELOPMENT COMPLETE. Derived from line topology and material-flow signals, not from a status word. Observed 14 Aug 2026: with the last machine stopped, M4 went BLOCKED / PROCESS, excluded from its own OEE loss. Two guards were added after live testing exposed them: a downstream machine that is itself STARVED no longer makes the machine before it read as BLOCKED (that cascade inverted the line and hid the real constraint), and an upstream machine that is BLOCKED no longer makes the machine after it read as STARVED. A machine at the end of the line is never inferred blocked; one at the head is never inferred starved. VERIFICATION SCOPE: run against simulated Modbus I/O reproducing NCC's documented addressing (remote I/O, 8 discrete inputs, the ID→DI offset NCC confirmed). Commissioning on the physical panel is a wiring and mapping exercise with no development outstanding — the same tag bindings apply unchanged. </v>
      </c>
    </row>
    <row r="14" ht="43.20000000000001" customHeight="1">
      <c r="B14">
        <v>12</v>
      </c>
      <c r="C14" t="str">
        <v>OEE</v>
      </c>
      <c r="D14" t="str">
        <v>Starved/Blocked exclusion from OEE loss – Uni-Tech Wrapping</v>
      </c>
      <c r="E14" t="str">
        <v>Starved/Blocked periods excluded according to agreed OEE calculation logic</v>
      </c>
      <c r="F14" t="str">
        <v>IPIC</v>
      </c>
      <c r="G14" t="str">
        <v>Critical</v>
      </c>
      <c r="H14" t="str">
        <v>Closed</v>
      </c>
      <c r="I14" s="1">
        <v>46245</v>
      </c>
      <c r="J14" t="str">
        <v>OEE calculation validation</v>
      </c>
      <c r="K14" t="str">
        <v>IMPLEMENTED AND VERIFIED. STARVED and BLOCKED minutes are removed from Planned Production Time BEFORE Availability and Performance are derived, so a machine waiting on the line constraint is not charged for the wait. Worked example: 480 planned / 120 starved / 360 run gives A and P of 100% instead of 75%/75%. Applied consistently at machine, line, area and plant level and covered by automated tests.</v>
      </c>
    </row>
    <row r="15" ht="28.8" customHeight="1">
      <c r="B15">
        <v>13</v>
      </c>
      <c r="C15" t="str">
        <v>Checkweigher</v>
      </c>
      <c r="D15" t="str">
        <v>Relocate rejection sensor</v>
      </c>
      <c r="E15" t="str">
        <v>Individual duplexes detected correctly without accumulated units being counted as one</v>
      </c>
      <c r="F15" t="str">
        <v>NCC</v>
      </c>
      <c r="G15" t="str">
        <v>High</v>
      </c>
      <c r="H15" t="str">
        <v>NCC Closed</v>
      </c>
      <c r="I15" s="1">
        <v>46244</v>
      </c>
      <c r="J15" t="str">
        <v>Physical modification / production test</v>
      </c>
      <c r="K15" t="str">
        <v>Sensor relocated by NCC to eliminate multiple-unit counting issue</v>
      </c>
    </row>
    <row r="16" ht="28.8" customHeight="1">
      <c r="B16">
        <v>14</v>
      </c>
      <c r="C16" t="str">
        <v>Euro-Pack Robot</v>
      </c>
      <c r="D16" t="str">
        <v>Correct pallet counter sensor position</v>
      </c>
      <c r="E16" t="str">
        <v>One sensor detection = one actual pallet</v>
      </c>
      <c r="F16" t="str">
        <v>NCC</v>
      </c>
      <c r="G16" t="str">
        <v>High</v>
      </c>
      <c r="H16" t="str">
        <v>NCC Closed</v>
      </c>
      <c r="I16" s="1">
        <v>46244</v>
      </c>
      <c r="J16" t="str">
        <v>Physical modification / count validation</v>
      </c>
      <c r="K16" t="str">
        <v>Sensor repositioned by NCC, previous 3× counting issue addressed</v>
      </c>
    </row>
    <row r="17" ht="28.8" customHeight="1">
      <c r="B17">
        <v>15</v>
      </c>
      <c r="C17" t="str">
        <v>Production KPI</v>
      </c>
      <c r="D17" t="str">
        <v>Master Schedule Attainment</v>
      </c>
      <c r="E17" t="str">
        <v>MSA KPI calculated and displayed correctly</v>
      </c>
      <c r="F17" t="str">
        <v>IPIC</v>
      </c>
      <c r="G17" t="str">
        <v>Medium</v>
      </c>
      <c r="H17" t="str">
        <v>Closed</v>
      </c>
      <c r="I17" s="1">
        <v>46245</v>
      </c>
      <c r="J17" t="str">
        <v>KPI dashboard</v>
      </c>
      <c r="K17" t="str">
        <v>MSA = SUM(min(Actual, Scheduled)) / SUM(Scheduled) x 100, displayed on the Production KPI screen with the per-order lines behind the figure. Each order is credited at most its scheduled quantity, so over-producing one order cannot mask a shortfall on another.</v>
      </c>
    </row>
    <row r="18" ht="43.20000000000001" customHeight="1">
      <c r="B18">
        <v>16</v>
      </c>
      <c r="C18" t="str">
        <v>Production KPI</v>
      </c>
      <c r="D18" t="str">
        <v>Volume-Based Capacity Utilization</v>
      </c>
      <c r="E18" t="str">
        <v>Capacity Utilization KPI calculated against designed capacity</v>
      </c>
      <c r="F18" t="str">
        <v>IPIC</v>
      </c>
      <c r="G18" t="str">
        <v>Medium</v>
      </c>
      <c r="H18" t="str">
        <v>Closed</v>
      </c>
      <c r="I18" s="1">
        <v>46245</v>
      </c>
      <c r="J18" t="str">
        <v>KPI dashboard</v>
      </c>
      <c r="K18" t="str">
        <v>Volume-based Capacity Utilization = Actual Units / (Designed Capacity x Calendar Hours) x 100, displayed on the Production KPI screen. Designed capacity is derived from the process ROUTING STEP definitions (3600 / cycle time), which is the single source for capacity rather than a separate machine field. Machines with no defined capacity are reported explicitly instead of being silently excluded.</v>
      </c>
    </row>
    <row r="19" ht="43.20000000000001" customHeight="1">
      <c r="B19">
        <v>17</v>
      </c>
      <c r="C19" t="str">
        <v>Quality KPI</v>
      </c>
      <c r="D19" t="str">
        <v>First Pass Yield</v>
      </c>
      <c r="E19" t="str">
        <v>FPY calculation available and reflected in Quality Reports</v>
      </c>
      <c r="F19" t="str">
        <v>IPIC</v>
      </c>
      <c r="G19" t="str">
        <v>Medium</v>
      </c>
      <c r="H19" t="str">
        <v>Closed</v>
      </c>
      <c r="I19" s="1">
        <v>46245</v>
      </c>
      <c r="J19" t="str">
        <v>Quality report</v>
      </c>
      <c r="K19" t="str">
        <v>FPY = Passed / Inspected, sourced from INSPECTION RECORDS and shown on both the Quality Reports and the Production KPI screens. Note: FPY is deliberately NOT the OEE quality factor - an earlier build displayed the quality factor under an FPY label, which is corrected. When no inspections exist in the period the card says so instead of showing a misleading zero.</v>
      </c>
    </row>
    <row r="20" ht="28.8" customHeight="1">
      <c r="B20">
        <v>18</v>
      </c>
      <c r="C20" t="str">
        <v>Quality KPI</v>
      </c>
      <c r="D20" t="str">
        <v>Defect Rate</v>
      </c>
      <c r="E20" t="str">
        <v>Defect Rate calculated and reflected in Quality Reports</v>
      </c>
      <c r="F20" t="str">
        <v>IPIC</v>
      </c>
      <c r="G20" t="str">
        <v>Medium</v>
      </c>
      <c r="H20" t="str">
        <v>Closed</v>
      </c>
      <c r="I20" s="1">
        <v>46245</v>
      </c>
      <c r="J20" t="str">
        <v>Quality report</v>
      </c>
      <c r="K20" t="str">
        <v>Defect Rate = 100 - FPY over the same inspected quantity, exposed as an explicit field so every quality surface binds to one value instead of re-deriving it. Defect PPM and rework rate are reported alongside. Scrap rate is separate and is measured from production counts, not inspections.</v>
      </c>
    </row>
    <row r="21" ht="43.20000000000001" customHeight="1">
      <c r="B21">
        <v>19</v>
      </c>
      <c r="C21" t="str">
        <v>Maintenance KPI</v>
      </c>
      <c r="D21" t="str">
        <v>MTBF calculation</v>
      </c>
      <c r="E21" t="str">
        <v>Formula, downtime classification and inclusion/exclusion criteria documented</v>
      </c>
      <c r="F21" t="str">
        <v>IPIC</v>
      </c>
      <c r="G21" t="str">
        <v>High</v>
      </c>
      <c r="H21" t="str">
        <v>Closed</v>
      </c>
      <c r="I21" s="1">
        <v>46245</v>
      </c>
      <c r="J21" t="str">
        <v>Calculation methodology</v>
      </c>
      <c r="K21" t="str">
        <v>MTBF = Operating Time / Number of Failures. Documented and served by the API: failure categories (MECHANICAL, ELECTRICAL, BREAKDOWN) are included; planned maintenance, changeover, breaks and external stops are excluded. The endpoint returns the methodology alongside the number so the report is self-documenting.</v>
      </c>
    </row>
    <row r="22" ht="28.8" customHeight="1">
      <c r="B22">
        <v>20</v>
      </c>
      <c r="C22" t="str">
        <v>Maintenance KPI</v>
      </c>
      <c r="D22" t="str">
        <v>MTTR calculation</v>
      </c>
      <c r="E22" t="str">
        <v>Formula, downtime classification and inclusion/exclusion criteria documented</v>
      </c>
      <c r="F22" t="str">
        <v>IPIC</v>
      </c>
      <c r="G22" t="str">
        <v>High</v>
      </c>
      <c r="H22" t="str">
        <v>Closed</v>
      </c>
      <c r="I22" s="1">
        <v>46245</v>
      </c>
      <c r="J22" t="str">
        <v>Calculation methodology</v>
      </c>
      <c r="K22" t="str">
        <v>MTTR = Total Repair Time / Number of Failures, with the same inclusion and exclusion criteria as MTBF, served with its methodology statement.</v>
      </c>
    </row>
    <row r="23" ht="57.6" customHeight="1">
      <c r="B23">
        <v>21</v>
      </c>
      <c r="C23" t="str">
        <v>Maintenance KPI</v>
      </c>
      <c r="D23" t="str">
        <v>MTBF/MTTR consistency</v>
      </c>
      <c r="E23" t="str">
        <v>Maintenance Reports and Downtime Command Center produce consistent results</v>
      </c>
      <c r="F23" t="str">
        <v>IPIC</v>
      </c>
      <c r="G23" t="str">
        <v>High</v>
      </c>
      <c r="H23" t="str">
        <v>Closed</v>
      </c>
      <c r="I23" s="1">
        <v>46245</v>
      </c>
      <c r="J23" t="str">
        <v>Cross-module validation</v>
      </c>
      <c r="K23" t="str">
        <v>RESOLVED, WITH AN EXPLANATION THE CLIENT SHOULD READ. Both modules now use one canonical reliability service. They can still differ, legitimately, because they answer different questions: the EQUIPMENT lens counts downtime events (what the line experienced) while the MAINTENANCE lens counts work orders (what the maintenance team handled). A stoppage fixed by an operator without raising a work order appears in the first and not the second. Each figure now states which lens produced it, so the two are comparable instead of contradictory.</v>
      </c>
    </row>
    <row r="24" ht="43.20000000000001" customHeight="1">
      <c r="B24">
        <v>22</v>
      </c>
      <c r="C24" t="str">
        <v>Energy</v>
      </c>
      <c r="D24" t="str">
        <v>Machine Energy Ratio</v>
      </c>
      <c r="E24" t="str">
        <v>Energy ratio available at individual machine level</v>
      </c>
      <c r="F24" t="str">
        <v>IPIC</v>
      </c>
      <c r="G24" t="str">
        <v>Medium</v>
      </c>
      <c r="H24" t="str">
        <v>Closed</v>
      </c>
      <c r="I24" s="1">
        <v>46245</v>
      </c>
      <c r="J24" t="str">
        <v>Energy dashboard</v>
      </c>
      <c r="K24" t="str">
        <v>kWh per unit available per machine, with idle/downtime waste share and cost. Corrected 2026-08-09: the per-unit denominator was labelled with the SKU inventory unit (CARTON) while the quantity was in pieces; unit names are now derived from the product packaging. kWh/kg was also overstated fourfold by a carton conversion and is now per piece.</v>
      </c>
    </row>
    <row r="25" ht="28.8" customHeight="1">
      <c r="B25">
        <v>23</v>
      </c>
      <c r="C25" t="str">
        <v>Energy</v>
      </c>
      <c r="D25" t="str">
        <v>WO Energy Ratio</v>
      </c>
      <c r="E25" t="str">
        <v>Energy ratio linked to Work Order</v>
      </c>
      <c r="F25" t="str">
        <v>IPIC</v>
      </c>
      <c r="G25" t="str">
        <v>Medium</v>
      </c>
      <c r="H25" t="str">
        <v>Closed</v>
      </c>
      <c r="I25" s="1">
        <v>46245</v>
      </c>
      <c r="J25" t="str">
        <v>WO / Energy report</v>
      </c>
      <c r="K25" t="str">
        <v>Energy ratio resolved per work order and per machine within the order, including the variance against the best previously demonstrated ratio for that machine and product.</v>
      </c>
    </row>
    <row r="26" ht="57.6" customHeight="1">
      <c r="B26">
        <v>24</v>
      </c>
      <c r="C26" t="str">
        <v>Energy / Sustainability</v>
      </c>
      <c r="D26" t="str">
        <v>Scope 2 Carbon Footprint</v>
      </c>
      <c r="E26" t="str">
        <v>kg CO₂e calculated from kWh × agreed grid emission factor</v>
      </c>
      <c r="F26" t="str">
        <v>IPIC</v>
      </c>
      <c r="G26" t="str">
        <v>Medium</v>
      </c>
      <c r="H26" t="str">
        <v>Closed</v>
      </c>
      <c r="I26" s="1">
        <v>46245</v>
      </c>
      <c r="J26" t="str">
        <v>Energy dashboard</v>
      </c>
      <c r="K26" t="str">
        <v>Scope 2 (location-based) = kWh x grid emission factor, per GHG Protocol. The factor is versioned with effective dates so historical reports stay reproducible; when none is configured the KSA default 0.568 kg CO2e/kWh is used and the response FLAGS it as a fallback. kWh is read from the Energy module itself so carbon and energy can never disagree. Corrected 2026-08-09: carbon intensity per unit was understated about fivefold because output had been summed across every routing step.</v>
      </c>
    </row>
    <row r="27" ht="28.8" customHeight="1">
      <c r="B27">
        <v>25</v>
      </c>
      <c r="C27" t="str">
        <v>Engineering Documentation</v>
      </c>
      <c r="D27" t="str">
        <v>Production Line Instrumentation Layout</v>
      </c>
      <c r="E27" t="str">
        <v>Machines, instruments, sensors, gateways and data acquisition points identified</v>
      </c>
      <c r="F27" t="str">
        <v>IPIC</v>
      </c>
      <c r="G27" t="str">
        <v>High</v>
      </c>
      <c r="H27" t="str">
        <v>Closed</v>
      </c>
      <c r="I27">
        <v>46248</v>
      </c>
      <c r="J27" t="str">
        <v>docs/NCC-25-Instrumentation-Layout.html</v>
      </c>
      <c r="K27" t="str">
        <v>CLOSED. Delivered as a printable document generated directly from the live configuration — machines, devices and tag_definitions — rather than drawn by hand, so it cannot drift from what the system is actually bound to. Covers the line in material-flow order, every counting and status input with its device and address, the power meters, and what each signal role means. It also states explicitly that four physical inputs are read by two machines each (EDGECOUNTER01 DI0/DI1 for M1+M2, EDGECOUNTER02 DI2/DI3 for M4+M5) — the upstream machine's output is the downstream machine's input and there is no second sensor. Regenerate after any I/O change with prisma/generate-engineering-drawings.ts.</v>
      </c>
    </row>
    <row r="28" ht="28.8" customHeight="1">
      <c r="B28">
        <v>26</v>
      </c>
      <c r="C28" t="str">
        <v>Engineering Documentation</v>
      </c>
      <c r="D28" t="str">
        <v>Industrial Automation System Architecture</v>
      </c>
      <c r="E28" t="str">
        <v>Complete automation pyramid showing machines, PLCs, field devices, networks, gateways, MES, etc.</v>
      </c>
      <c r="F28" t="str">
        <v>IPIC</v>
      </c>
      <c r="G28" t="str">
        <v>High</v>
      </c>
      <c r="H28" t="str">
        <v>Closed</v>
      </c>
      <c r="I28">
        <v>46248</v>
      </c>
      <c r="J28" t="str">
        <v>docs/NCC-26-Automation-Architecture.html</v>
      </c>
      <c r="K28" t="str">
        <v>CLOSED. L0 to L4 with the actual component counts, plus the part that matters for the PoC: the five steps by which a contact becomes a KPI, and where each decision is made. Documents why counting runs at the edge (a pulse between two server polls would otherwise be lost), the resilience behaviour on a platform outage, a gateway restart mid-stop, a BAD-quality sensor and a chattering contact, and that signal roles, thresholds, state rules and alarm limits are all configuration rather than code.</v>
      </c>
    </row>
    <row r="29">
      <c r="B29">
        <v>27</v>
      </c>
      <c r="C29" t="str">
        <v>Master Data / OEE</v>
      </c>
      <c r="D29" t="str">
        <v>Reconcile ideal cycle times across the line</v>
      </c>
      <c r="E29" t="str">
        <v>Performance reflects real pace loss instead of saturating at 100% on every machine</v>
      </c>
      <c r="F29" t="str">
        <v>NCC</v>
      </c>
      <c r="G29" t="str">
        <v>High</v>
      </c>
      <c r="H29" t="str">
        <v>Open</v>
      </c>
      <c r="J29" t="str">
        <v>routing_steps.cycleTime vs measured output</v>
      </c>
      <c r="K29" t="str">
        <v>RAISED BY IPIC — NOT IN THE ORIGINAL SCOPE. The configured ideal cycle times are mutually inconsistent for machines on one serial line: Filling 2.0 s/pc (1,800 pcs/h), Cartoning 3.0 s/pc (1,200 pcs/h), Palletising and Wrapping 1.5 s/pc (2,400 pcs/h). A serial line cannot run three different paces, so the actual rate exceeds at least two of them and Performance is capped at 100% on every screen — the indicator carries no information and the bottleneck is invisible. The system is computing correctly from the data it was given; the data needs correcting. NCC to confirm the true nameplate rate per machine, after which Performance becomes meaningful and the BOTTLENECK line method (ID 9) has something to find.</v>
      </c>
    </row>
  </sheetData>
  <autoFilter ref="B2:K28"/>
  <pageMargins left="0.75" right="0.75" top="1" bottom="1" header="0.5" footer="0.5"/>
  <ignoredErrors>
    <ignoredError numberStoredAsText="1" sqref="B2:K2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Dashboard</vt:lpstr>
      <vt:lpstr>Action 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2026-08-11T08:52:50Z</dcterms:created>
  <dcterms:modified xsi:type="dcterms:W3CDTF">2026-08-12T09:09:11Z</dcterms:modified>
  <cp:lastModifiedBy>Ahmed Gamal</cp:lastModifiedBy>
  <dc:creator>openpyxl</dc:creator>
</cp:coreProperties>
</file>