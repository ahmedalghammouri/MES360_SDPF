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ssa.masadeh\AppData\Local\Microsoft\Windows\INetCache\Content.Outlook\UQE3G3OH\"/>
    </mc:Choice>
  </mc:AlternateContent>
  <xr:revisionPtr revIDLastSave="0" documentId="13_ncr:1_{4A223FB0-C597-4E01-B1C5-56F7ABB96B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shboard" sheetId="1" r:id="rId1"/>
    <sheet name="Action Tracker" sheetId="2" r:id="rId2"/>
  </sheets>
  <definedNames>
    <definedName name="_xlnm._FilterDatabase" localSheetId="1" hidden="1">'Action Tracker'!$B$2:$K$28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D10" i="1"/>
  <c r="G9" i="1"/>
  <c r="D9" i="1"/>
  <c r="G8" i="1"/>
  <c r="D8" i="1"/>
</calcChain>
</file>

<file path=xl/sharedStrings.xml><?xml version="1.0" encoding="utf-8"?>
<sst xmlns="http://schemas.openxmlformats.org/spreadsheetml/2006/main" count="211" uniqueCount="107">
  <si>
    <t>Status Summary</t>
  </si>
  <si>
    <t>Priority Summary</t>
  </si>
  <si>
    <t>Open</t>
  </si>
  <si>
    <t>Critical</t>
  </si>
  <si>
    <t>NCC Closed</t>
  </si>
  <si>
    <t>High</t>
  </si>
  <si>
    <t>Medium</t>
  </si>
  <si>
    <t>Low</t>
  </si>
  <si>
    <t>ID</t>
  </si>
  <si>
    <t>Module / Area</t>
  </si>
  <si>
    <t>Requirement / Action</t>
  </si>
  <si>
    <t>Expected Outcome / Acceptance Criteria</t>
  </si>
  <si>
    <t>Owner</t>
  </si>
  <si>
    <t>Priority</t>
  </si>
  <si>
    <t>Status</t>
  </si>
  <si>
    <t>Target Date</t>
  </si>
  <si>
    <t>Evidence / Reference</t>
  </si>
  <si>
    <t>Closure Remarks</t>
  </si>
  <si>
    <t>Plant Live Views</t>
  </si>
  <si>
    <t>Update Site Locations</t>
  </si>
  <si>
    <t>All five sites correctly positioned on dashboard</t>
  </si>
  <si>
    <t>IPIC</t>
  </si>
  <si>
    <t>Updated dashboard</t>
  </si>
  <si>
    <t>Downtime Command Center</t>
  </si>
  <si>
    <t>Automatic event detection and timestamping from machine signals</t>
  </si>
  <si>
    <t>I/O mapping / system demo</t>
  </si>
  <si>
    <t>Configure operator downtime classification</t>
  </si>
  <si>
    <t>Operator can assign appropriate downtime reason to detected events</t>
  </si>
  <si>
    <t>System demonstration</t>
  </si>
  <si>
    <t>I/O Integration</t>
  </si>
  <si>
    <t>Big Betti – ID 3 Run Mode</t>
  </si>
  <si>
    <t>Signal logic correctly mapped to Run / Stop / Alarm conditions</t>
  </si>
  <si>
    <t>I/O test / signal availability</t>
  </si>
  <si>
    <t>Cartomac – ID 4 Run Mode</t>
  </si>
  <si>
    <t>Signal correctly reflected in machine operating state</t>
  </si>
  <si>
    <t>Euro-Pack Robot – ID 5 Run Mode</t>
  </si>
  <si>
    <t>Steady / pulsing / OFF states correctly interpreted</t>
  </si>
  <si>
    <t>Uni-Tech Wrapping Table – ID 5</t>
  </si>
  <si>
    <t>Table rotation available for Starved / Blocked detection</t>
  </si>
  <si>
    <t>Signal made available by NCC</t>
  </si>
  <si>
    <t>Uni-Tech Wrapping – ID 6 Run Mode</t>
  </si>
  <si>
    <t>Run / Alarm / E-stop states correctly mapped</t>
  </si>
  <si>
    <t>OEE</t>
  </si>
  <si>
    <t>Overall Line OEE methodology</t>
  </si>
  <si>
    <t>Bottleneck Availability × Bottleneck Performance × Final Outfeed Quality</t>
  </si>
  <si>
    <t>OEE calculation / report</t>
  </si>
  <si>
    <t>Downstream machine automatically changes to Starved when upstream product is unavailable</t>
  </si>
  <si>
    <t>Live demonstration</t>
  </si>
  <si>
    <t>Downstream constraint/accumulation correctly identified as Blocked</t>
  </si>
  <si>
    <t>Starved/Blocked periods excluded according to agreed OEE calculation logic</t>
  </si>
  <si>
    <t>OEE calculation validation</t>
  </si>
  <si>
    <t>Checkweigher</t>
  </si>
  <si>
    <t>Relocate rejection sensor</t>
  </si>
  <si>
    <t>Individual duplexes detected correctly without accumulated units being counted as one</t>
  </si>
  <si>
    <t>NCC</t>
  </si>
  <si>
    <t>Physical modification / production test</t>
  </si>
  <si>
    <t>Sensor relocated by NCC to eliminate multiple-unit counting issue</t>
  </si>
  <si>
    <t>Euro-Pack Robot</t>
  </si>
  <si>
    <t>Correct pallet counter sensor position</t>
  </si>
  <si>
    <t>One sensor detection = one actual pallet</t>
  </si>
  <si>
    <t>Physical modification / count validation</t>
  </si>
  <si>
    <t>Production KPI</t>
  </si>
  <si>
    <t>Master Schedule Attainment</t>
  </si>
  <si>
    <t>MSA KPI calculated and displayed correctly</t>
  </si>
  <si>
    <t>KPI dashboard</t>
  </si>
  <si>
    <t>Volume-Based Capacity Utilization</t>
  </si>
  <si>
    <t>Capacity Utilization KPI calculated against designed capacity</t>
  </si>
  <si>
    <t>Quality KPI</t>
  </si>
  <si>
    <t>First Pass Yield</t>
  </si>
  <si>
    <t>FPY calculation available and reflected in Quality Reports</t>
  </si>
  <si>
    <t>Quality report</t>
  </si>
  <si>
    <t>Defect Rate</t>
  </si>
  <si>
    <t>Defect Rate calculated and reflected in Quality Reports</t>
  </si>
  <si>
    <t>Maintenance KPI</t>
  </si>
  <si>
    <t>MTBF calculation</t>
  </si>
  <si>
    <t>Formula, downtime classification and inclusion/exclusion criteria documented</t>
  </si>
  <si>
    <t>Calculation methodology</t>
  </si>
  <si>
    <t>MTTR calculation</t>
  </si>
  <si>
    <t>MTBF/MTTR consistency</t>
  </si>
  <si>
    <t>Maintenance Reports and Downtime Command Center produce consistent results</t>
  </si>
  <si>
    <t>Cross-module validation</t>
  </si>
  <si>
    <t>Energy</t>
  </si>
  <si>
    <t>Machine Energy Ratio</t>
  </si>
  <si>
    <t>Energy ratio available at individual machine level</t>
  </si>
  <si>
    <t>Energy dashboard</t>
  </si>
  <si>
    <t>WO Energy Ratio</t>
  </si>
  <si>
    <t>Energy ratio linked to Work Order</t>
  </si>
  <si>
    <t>WO / Energy report</t>
  </si>
  <si>
    <t>Energy / Sustainability</t>
  </si>
  <si>
    <t>Scope 2 Carbon Footprint</t>
  </si>
  <si>
    <t>kg CO₂e calculated from kWh × agreed grid emission factor</t>
  </si>
  <si>
    <t>Engineering Documentation</t>
  </si>
  <si>
    <t>Production Line Instrumentation Layout</t>
  </si>
  <si>
    <t>Machines, instruments, sensors, gateways and data acquisition points identified</t>
  </si>
  <si>
    <t>Engineering drawing</t>
  </si>
  <si>
    <t>Industrial Automation System Architecture</t>
  </si>
  <si>
    <t>Complete automation pyramid showing machines, PLCs, field devices, networks, gateways, MES, etc.</t>
  </si>
  <si>
    <t>Architecture drawing</t>
  </si>
  <si>
    <t>Integrate Big Betti signals</t>
  </si>
  <si>
    <t xml:space="preserve">Starved state detection – Uni-Tech Wrapping </t>
  </si>
  <si>
    <t>Blocked state detection – Uni-Tech Wrapping</t>
  </si>
  <si>
    <t>Starved/Blocked exclusion from OEE loss – Uni-Tech Wrapping</t>
  </si>
  <si>
    <t>Sensor repositioned by NCC, previous 3× counting issue addressed</t>
  </si>
  <si>
    <t>IPIC Closed</t>
  </si>
  <si>
    <t>The summary of PoC requirements, issues, and integration tasks.</t>
  </si>
  <si>
    <r>
      <t xml:space="preserve">Manufacturing Execution System Project
</t>
    </r>
    <r>
      <rPr>
        <b/>
        <sz val="11"/>
        <color rgb="FF1F4E78"/>
        <rFont val="Calibri"/>
        <family val="2"/>
      </rPr>
      <t xml:space="preserve">Phase: Proof of Concept </t>
    </r>
  </si>
  <si>
    <t>Engineering Project Action Tracker Dashboard |NCC - IPIC|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</si>
</sst>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1F4E7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b/>
      <sz val="16"/>
      <color rgb="FF1F4E78"/>
      <name val="Calibri"/>
      <family val="2"/>
    </font>
    <font>
      <i/>
      <sz val="10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2" fillId="0" borderId="2" xfId="0" applyFont="1" applyBorder="1"/>
    <xf numFmtId="0" fontId="0" fillId="0" borderId="2" xfId="0" applyBorder="1"/>
    <xf numFmtId="16" fontId="0" fillId="0" borderId="1" xfId="0" applyNumberForma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6">
    <dxf>
      <font>
        <b/>
        <color rgb="FFC00000"/>
      </font>
    </dxf>
    <dxf>
      <font>
        <b/>
        <color rgb="FF003366"/>
      </font>
      <fill>
        <patternFill patternType="solid">
          <fgColor rgb="FFBDD7EE"/>
          <bgColor rgb="FFBDD7E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E6B15"/>
      </font>
      <fill>
        <patternFill patternType="solid">
          <fgColor rgb="FFFFF2CC"/>
          <bgColor rgb="FFFFF2CC"/>
        </patternFill>
      </fill>
    </dxf>
    <dxf>
      <font>
        <b/>
        <color rgb="FFB87333"/>
      </font>
      <fill>
        <patternFill patternType="solid">
          <fgColor rgb="FFFFE699"/>
          <bgColor rgb="FFFFE699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Actions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Dashboard!$G$7</c:f>
              <c:strCache>
                <c:ptCount val="1"/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302-4F42-9F37-A11CB6CF05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302-4F42-9F37-A11CB6CF054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302-4F42-9F37-A11CB6CF054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302-4F42-9F37-A11CB6CF05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Dashboard!$F$8:$F$11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Dashboard!$G$8:$G$11</c:f>
              <c:numCache>
                <c:formatCode>General</c:formatCode>
                <c:ptCount val="4"/>
                <c:pt idx="0">
                  <c:v>3</c:v>
                </c:pt>
                <c:pt idx="1">
                  <c:v>15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2-4743-9AA8-DC8E83D1547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Actions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Dashboard!$D$7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Dashboard!$C$8:$C$10</c:f>
              <c:strCache>
                <c:ptCount val="3"/>
                <c:pt idx="0">
                  <c:v>Open</c:v>
                </c:pt>
                <c:pt idx="1">
                  <c:v>NCC Closed</c:v>
                </c:pt>
                <c:pt idx="2">
                  <c:v>IPIC Closed</c:v>
                </c:pt>
              </c:strCache>
            </c:strRef>
          </c:cat>
          <c:val>
            <c:numRef>
              <c:f>Dashboard!$D$8:$D$10</c:f>
              <c:numCache>
                <c:formatCode>General</c:formatCode>
                <c:ptCount val="3"/>
                <c:pt idx="0">
                  <c:v>19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3-4275-AA8B-F07A6D4ADF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323850</xdr:colOff>
      <xdr:row>12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12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B2:K11"/>
  <sheetViews>
    <sheetView showGridLines="0" tabSelected="1" workbookViewId="0">
      <selection activeCell="R12" sqref="R12"/>
    </sheetView>
  </sheetViews>
  <sheetFormatPr defaultRowHeight="15" x14ac:dyDescent="0.25"/>
  <cols>
    <col min="1" max="1" width="3.42578125" customWidth="1"/>
    <col min="2" max="2" width="8.85546875" customWidth="1"/>
    <col min="3" max="3" width="11" customWidth="1"/>
  </cols>
  <sheetData>
    <row r="2" spans="2:11" ht="39" customHeight="1" x14ac:dyDescent="0.4">
      <c r="B2" s="11" t="s">
        <v>105</v>
      </c>
      <c r="C2" s="12"/>
      <c r="D2" s="12"/>
      <c r="E2" s="12"/>
      <c r="F2" s="12"/>
      <c r="G2" s="12"/>
      <c r="H2" s="12"/>
      <c r="I2" s="12"/>
      <c r="J2" s="12"/>
      <c r="K2" s="12"/>
    </row>
    <row r="4" spans="2:11" ht="21" x14ac:dyDescent="0.35">
      <c r="B4" s="9" t="s">
        <v>106</v>
      </c>
    </row>
    <row r="5" spans="2:11" x14ac:dyDescent="0.25">
      <c r="B5" s="10" t="s">
        <v>104</v>
      </c>
    </row>
    <row r="7" spans="2:11" x14ac:dyDescent="0.25">
      <c r="C7" s="6" t="s">
        <v>0</v>
      </c>
      <c r="D7" s="7"/>
      <c r="E7" s="7"/>
      <c r="F7" s="6" t="s">
        <v>1</v>
      </c>
      <c r="G7" s="7"/>
    </row>
    <row r="8" spans="2:11" x14ac:dyDescent="0.25">
      <c r="C8" t="s">
        <v>2</v>
      </c>
      <c r="D8">
        <f>COUNTIF('Action Tracker'!H:H, "Open")</f>
        <v>19</v>
      </c>
      <c r="F8" t="s">
        <v>3</v>
      </c>
      <c r="G8">
        <f>COUNTIF('Action Tracker'!G:G, "Critical")</f>
        <v>3</v>
      </c>
    </row>
    <row r="9" spans="2:11" x14ac:dyDescent="0.25">
      <c r="C9" t="s">
        <v>4</v>
      </c>
      <c r="D9">
        <f>COUNTIF('Action Tracker'!H:H, "NCC Closed")</f>
        <v>7</v>
      </c>
      <c r="F9" t="s">
        <v>5</v>
      </c>
      <c r="G9">
        <f>COUNTIF('Action Tracker'!G:G, "High")</f>
        <v>15</v>
      </c>
    </row>
    <row r="10" spans="2:11" x14ac:dyDescent="0.25">
      <c r="C10" t="s">
        <v>103</v>
      </c>
      <c r="D10">
        <f>COUNTIF('Action Tracker'!H:H, "Closed")</f>
        <v>0</v>
      </c>
      <c r="F10" t="s">
        <v>6</v>
      </c>
      <c r="G10">
        <f>COUNTIF('Action Tracker'!G:G, "Medium")</f>
        <v>8</v>
      </c>
    </row>
    <row r="11" spans="2:11" x14ac:dyDescent="0.25">
      <c r="F11" t="s">
        <v>7</v>
      </c>
      <c r="G11">
        <f>COUNTIF('Action Tracker'!G:G, "Low")</f>
        <v>0</v>
      </c>
    </row>
  </sheetData>
  <mergeCells count="1">
    <mergeCell ref="B2:K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B084"/>
  </sheetPr>
  <dimension ref="B2:K28"/>
  <sheetViews>
    <sheetView workbookViewId="0">
      <pane xSplit="2" ySplit="2" topLeftCell="C3" activePane="bottomRight" state="frozen"/>
      <selection pane="topRight"/>
      <selection pane="bottomLeft"/>
      <selection pane="bottomRight" activeCell="K3" sqref="K3"/>
    </sheetView>
  </sheetViews>
  <sheetFormatPr defaultRowHeight="15" x14ac:dyDescent="0.25"/>
  <cols>
    <col min="1" max="1" width="2.85546875" customWidth="1"/>
    <col min="2" max="2" width="6" customWidth="1"/>
    <col min="3" max="3" width="22" customWidth="1"/>
    <col min="4" max="4" width="35" customWidth="1"/>
    <col min="5" max="5" width="45" customWidth="1"/>
    <col min="6" max="6" width="15" customWidth="1"/>
    <col min="7" max="7" width="12" customWidth="1"/>
    <col min="8" max="9" width="15" customWidth="1"/>
    <col min="10" max="10" width="30" customWidth="1"/>
    <col min="11" max="11" width="35" customWidth="1"/>
  </cols>
  <sheetData>
    <row r="2" spans="2:11" x14ac:dyDescent="0.25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2:11" x14ac:dyDescent="0.25">
      <c r="B3" s="2">
        <v>1</v>
      </c>
      <c r="C3" s="3" t="s">
        <v>18</v>
      </c>
      <c r="D3" s="3" t="s">
        <v>19</v>
      </c>
      <c r="E3" s="3" t="s">
        <v>20</v>
      </c>
      <c r="F3" s="2" t="s">
        <v>21</v>
      </c>
      <c r="G3" s="2" t="s">
        <v>6</v>
      </c>
      <c r="H3" s="2" t="s">
        <v>2</v>
      </c>
      <c r="I3" s="2"/>
      <c r="J3" s="3" t="s">
        <v>22</v>
      </c>
      <c r="K3" s="3"/>
    </row>
    <row r="4" spans="2:11" ht="30" x14ac:dyDescent="0.25">
      <c r="B4" s="4">
        <v>2</v>
      </c>
      <c r="C4" s="5" t="s">
        <v>23</v>
      </c>
      <c r="D4" s="5" t="s">
        <v>98</v>
      </c>
      <c r="E4" s="5" t="s">
        <v>24</v>
      </c>
      <c r="F4" s="4" t="s">
        <v>21</v>
      </c>
      <c r="G4" s="4" t="s">
        <v>5</v>
      </c>
      <c r="H4" s="4" t="s">
        <v>2</v>
      </c>
      <c r="I4" s="4"/>
      <c r="J4" s="5" t="s">
        <v>25</v>
      </c>
      <c r="K4" s="5"/>
    </row>
    <row r="5" spans="2:11" ht="30" x14ac:dyDescent="0.25">
      <c r="B5" s="2">
        <v>3</v>
      </c>
      <c r="C5" s="3" t="s">
        <v>23</v>
      </c>
      <c r="D5" s="3" t="s">
        <v>26</v>
      </c>
      <c r="E5" s="3" t="s">
        <v>27</v>
      </c>
      <c r="F5" s="2" t="s">
        <v>21</v>
      </c>
      <c r="G5" s="2" t="s">
        <v>5</v>
      </c>
      <c r="H5" s="2" t="s">
        <v>2</v>
      </c>
      <c r="I5" s="2"/>
      <c r="J5" s="3" t="s">
        <v>28</v>
      </c>
      <c r="K5" s="3"/>
    </row>
    <row r="6" spans="2:11" ht="30" x14ac:dyDescent="0.25">
      <c r="B6" s="4">
        <v>4</v>
      </c>
      <c r="C6" s="5" t="s">
        <v>29</v>
      </c>
      <c r="D6" s="5" t="s">
        <v>30</v>
      </c>
      <c r="E6" s="5" t="s">
        <v>31</v>
      </c>
      <c r="F6" s="4" t="s">
        <v>54</v>
      </c>
      <c r="G6" s="4" t="s">
        <v>5</v>
      </c>
      <c r="H6" s="4" t="s">
        <v>4</v>
      </c>
      <c r="I6" s="8">
        <v>46244</v>
      </c>
      <c r="J6" s="5" t="s">
        <v>32</v>
      </c>
      <c r="K6" s="5" t="s">
        <v>39</v>
      </c>
    </row>
    <row r="7" spans="2:11" ht="30" x14ac:dyDescent="0.25">
      <c r="B7" s="2">
        <v>5</v>
      </c>
      <c r="C7" s="3" t="s">
        <v>29</v>
      </c>
      <c r="D7" s="3" t="s">
        <v>33</v>
      </c>
      <c r="E7" s="3" t="s">
        <v>34</v>
      </c>
      <c r="F7" s="2" t="s">
        <v>54</v>
      </c>
      <c r="G7" s="2" t="s">
        <v>5</v>
      </c>
      <c r="H7" s="2" t="s">
        <v>4</v>
      </c>
      <c r="I7" s="8">
        <v>46244</v>
      </c>
      <c r="J7" s="3" t="s">
        <v>32</v>
      </c>
      <c r="K7" s="3" t="s">
        <v>39</v>
      </c>
    </row>
    <row r="8" spans="2:11" ht="30" x14ac:dyDescent="0.25">
      <c r="B8" s="4">
        <v>6</v>
      </c>
      <c r="C8" s="5" t="s">
        <v>29</v>
      </c>
      <c r="D8" s="5" t="s">
        <v>35</v>
      </c>
      <c r="E8" s="5" t="s">
        <v>36</v>
      </c>
      <c r="F8" s="4" t="s">
        <v>54</v>
      </c>
      <c r="G8" s="4" t="s">
        <v>5</v>
      </c>
      <c r="H8" s="4" t="s">
        <v>4</v>
      </c>
      <c r="I8" s="8">
        <v>46244</v>
      </c>
      <c r="J8" s="5" t="s">
        <v>32</v>
      </c>
      <c r="K8" s="5" t="s">
        <v>39</v>
      </c>
    </row>
    <row r="9" spans="2:11" ht="30" x14ac:dyDescent="0.25">
      <c r="B9" s="2">
        <v>7</v>
      </c>
      <c r="C9" s="3" t="s">
        <v>29</v>
      </c>
      <c r="D9" s="3" t="s">
        <v>37</v>
      </c>
      <c r="E9" s="3" t="s">
        <v>38</v>
      </c>
      <c r="F9" s="2" t="s">
        <v>54</v>
      </c>
      <c r="G9" s="2" t="s">
        <v>5</v>
      </c>
      <c r="H9" s="2" t="s">
        <v>4</v>
      </c>
      <c r="I9" s="8">
        <v>46244</v>
      </c>
      <c r="J9" s="3" t="s">
        <v>32</v>
      </c>
      <c r="K9" s="3" t="s">
        <v>39</v>
      </c>
    </row>
    <row r="10" spans="2:11" x14ac:dyDescent="0.25">
      <c r="B10" s="4">
        <v>8</v>
      </c>
      <c r="C10" s="5" t="s">
        <v>29</v>
      </c>
      <c r="D10" s="5" t="s">
        <v>40</v>
      </c>
      <c r="E10" s="5" t="s">
        <v>41</v>
      </c>
      <c r="F10" s="4" t="s">
        <v>54</v>
      </c>
      <c r="G10" s="4" t="s">
        <v>5</v>
      </c>
      <c r="H10" s="4" t="s">
        <v>4</v>
      </c>
      <c r="I10" s="8">
        <v>46244</v>
      </c>
      <c r="J10" s="5" t="s">
        <v>32</v>
      </c>
      <c r="K10" s="5" t="s">
        <v>39</v>
      </c>
    </row>
    <row r="11" spans="2:11" ht="30" x14ac:dyDescent="0.25">
      <c r="B11" s="2">
        <v>9</v>
      </c>
      <c r="C11" s="3" t="s">
        <v>42</v>
      </c>
      <c r="D11" s="3" t="s">
        <v>43</v>
      </c>
      <c r="E11" s="3" t="s">
        <v>44</v>
      </c>
      <c r="F11" s="2" t="s">
        <v>21</v>
      </c>
      <c r="G11" s="2" t="s">
        <v>3</v>
      </c>
      <c r="H11" s="2" t="s">
        <v>2</v>
      </c>
      <c r="I11" s="2"/>
      <c r="J11" s="3" t="s">
        <v>45</v>
      </c>
      <c r="K11" s="3"/>
    </row>
    <row r="12" spans="2:11" ht="30" x14ac:dyDescent="0.25">
      <c r="B12" s="4">
        <v>10</v>
      </c>
      <c r="C12" s="5" t="s">
        <v>42</v>
      </c>
      <c r="D12" s="5" t="s">
        <v>99</v>
      </c>
      <c r="E12" s="5" t="s">
        <v>46</v>
      </c>
      <c r="F12" s="4" t="s">
        <v>21</v>
      </c>
      <c r="G12" s="4" t="s">
        <v>3</v>
      </c>
      <c r="H12" s="4" t="s">
        <v>2</v>
      </c>
      <c r="I12" s="4"/>
      <c r="J12" s="5" t="s">
        <v>47</v>
      </c>
      <c r="K12" s="5"/>
    </row>
    <row r="13" spans="2:11" ht="30" x14ac:dyDescent="0.25">
      <c r="B13" s="2">
        <v>11</v>
      </c>
      <c r="C13" s="3" t="s">
        <v>42</v>
      </c>
      <c r="D13" s="3" t="s">
        <v>100</v>
      </c>
      <c r="E13" s="3" t="s">
        <v>48</v>
      </c>
      <c r="F13" s="2" t="s">
        <v>21</v>
      </c>
      <c r="G13" s="2" t="s">
        <v>5</v>
      </c>
      <c r="H13" s="2" t="s">
        <v>2</v>
      </c>
      <c r="I13" s="2"/>
      <c r="J13" s="3" t="s">
        <v>47</v>
      </c>
      <c r="K13" s="3"/>
    </row>
    <row r="14" spans="2:11" ht="30" x14ac:dyDescent="0.25">
      <c r="B14" s="4">
        <v>12</v>
      </c>
      <c r="C14" s="5" t="s">
        <v>42</v>
      </c>
      <c r="D14" s="5" t="s">
        <v>101</v>
      </c>
      <c r="E14" s="5" t="s">
        <v>49</v>
      </c>
      <c r="F14" s="4" t="s">
        <v>21</v>
      </c>
      <c r="G14" s="4" t="s">
        <v>3</v>
      </c>
      <c r="H14" s="4" t="s">
        <v>2</v>
      </c>
      <c r="I14" s="4"/>
      <c r="J14" s="5" t="s">
        <v>50</v>
      </c>
      <c r="K14" s="5"/>
    </row>
    <row r="15" spans="2:11" ht="30" x14ac:dyDescent="0.25">
      <c r="B15" s="2">
        <v>13</v>
      </c>
      <c r="C15" s="3" t="s">
        <v>51</v>
      </c>
      <c r="D15" s="3" t="s">
        <v>52</v>
      </c>
      <c r="E15" s="3" t="s">
        <v>53</v>
      </c>
      <c r="F15" s="2" t="s">
        <v>54</v>
      </c>
      <c r="G15" s="2" t="s">
        <v>5</v>
      </c>
      <c r="H15" s="2" t="s">
        <v>4</v>
      </c>
      <c r="I15" s="8">
        <v>46244</v>
      </c>
      <c r="J15" s="3" t="s">
        <v>55</v>
      </c>
      <c r="K15" s="3" t="s">
        <v>56</v>
      </c>
    </row>
    <row r="16" spans="2:11" ht="30" x14ac:dyDescent="0.25">
      <c r="B16" s="4">
        <v>14</v>
      </c>
      <c r="C16" s="5" t="s">
        <v>57</v>
      </c>
      <c r="D16" s="5" t="s">
        <v>58</v>
      </c>
      <c r="E16" s="5" t="s">
        <v>59</v>
      </c>
      <c r="F16" s="4" t="s">
        <v>54</v>
      </c>
      <c r="G16" s="4" t="s">
        <v>5</v>
      </c>
      <c r="H16" s="4" t="s">
        <v>4</v>
      </c>
      <c r="I16" s="8">
        <v>46244</v>
      </c>
      <c r="J16" s="5" t="s">
        <v>60</v>
      </c>
      <c r="K16" s="5" t="s">
        <v>102</v>
      </c>
    </row>
    <row r="17" spans="2:11" x14ac:dyDescent="0.25">
      <c r="B17" s="2">
        <v>15</v>
      </c>
      <c r="C17" s="3" t="s">
        <v>61</v>
      </c>
      <c r="D17" s="3" t="s">
        <v>62</v>
      </c>
      <c r="E17" s="3" t="s">
        <v>63</v>
      </c>
      <c r="F17" s="2" t="s">
        <v>21</v>
      </c>
      <c r="G17" s="2" t="s">
        <v>6</v>
      </c>
      <c r="H17" s="2" t="s">
        <v>2</v>
      </c>
      <c r="I17" s="2"/>
      <c r="J17" s="3" t="s">
        <v>64</v>
      </c>
      <c r="K17" s="3"/>
    </row>
    <row r="18" spans="2:11" ht="30" x14ac:dyDescent="0.25">
      <c r="B18" s="4">
        <v>16</v>
      </c>
      <c r="C18" s="5" t="s">
        <v>61</v>
      </c>
      <c r="D18" s="5" t="s">
        <v>65</v>
      </c>
      <c r="E18" s="5" t="s">
        <v>66</v>
      </c>
      <c r="F18" s="4" t="s">
        <v>21</v>
      </c>
      <c r="G18" s="4" t="s">
        <v>6</v>
      </c>
      <c r="H18" s="4" t="s">
        <v>2</v>
      </c>
      <c r="I18" s="4"/>
      <c r="J18" s="5" t="s">
        <v>64</v>
      </c>
      <c r="K18" s="5"/>
    </row>
    <row r="19" spans="2:11" ht="30" x14ac:dyDescent="0.25">
      <c r="B19" s="2">
        <v>17</v>
      </c>
      <c r="C19" s="3" t="s">
        <v>67</v>
      </c>
      <c r="D19" s="3" t="s">
        <v>68</v>
      </c>
      <c r="E19" s="3" t="s">
        <v>69</v>
      </c>
      <c r="F19" s="2" t="s">
        <v>21</v>
      </c>
      <c r="G19" s="2" t="s">
        <v>6</v>
      </c>
      <c r="H19" s="2" t="s">
        <v>2</v>
      </c>
      <c r="I19" s="2"/>
      <c r="J19" s="3" t="s">
        <v>70</v>
      </c>
      <c r="K19" s="3"/>
    </row>
    <row r="20" spans="2:11" ht="30" x14ac:dyDescent="0.25">
      <c r="B20" s="4">
        <v>18</v>
      </c>
      <c r="C20" s="5" t="s">
        <v>67</v>
      </c>
      <c r="D20" s="5" t="s">
        <v>71</v>
      </c>
      <c r="E20" s="5" t="s">
        <v>72</v>
      </c>
      <c r="F20" s="4" t="s">
        <v>21</v>
      </c>
      <c r="G20" s="4" t="s">
        <v>6</v>
      </c>
      <c r="H20" s="4" t="s">
        <v>2</v>
      </c>
      <c r="I20" s="4"/>
      <c r="J20" s="5" t="s">
        <v>70</v>
      </c>
      <c r="K20" s="5"/>
    </row>
    <row r="21" spans="2:11" ht="30" x14ac:dyDescent="0.25">
      <c r="B21" s="2">
        <v>19</v>
      </c>
      <c r="C21" s="3" t="s">
        <v>73</v>
      </c>
      <c r="D21" s="3" t="s">
        <v>74</v>
      </c>
      <c r="E21" s="3" t="s">
        <v>75</v>
      </c>
      <c r="F21" s="2" t="s">
        <v>21</v>
      </c>
      <c r="G21" s="2" t="s">
        <v>5</v>
      </c>
      <c r="H21" s="2" t="s">
        <v>2</v>
      </c>
      <c r="I21" s="2"/>
      <c r="J21" s="3" t="s">
        <v>76</v>
      </c>
      <c r="K21" s="3"/>
    </row>
    <row r="22" spans="2:11" ht="30" x14ac:dyDescent="0.25">
      <c r="B22" s="4">
        <v>20</v>
      </c>
      <c r="C22" s="5" t="s">
        <v>73</v>
      </c>
      <c r="D22" s="5" t="s">
        <v>77</v>
      </c>
      <c r="E22" s="5" t="s">
        <v>75</v>
      </c>
      <c r="F22" s="4" t="s">
        <v>21</v>
      </c>
      <c r="G22" s="4" t="s">
        <v>5</v>
      </c>
      <c r="H22" s="4" t="s">
        <v>2</v>
      </c>
      <c r="I22" s="4"/>
      <c r="J22" s="5" t="s">
        <v>76</v>
      </c>
      <c r="K22" s="5"/>
    </row>
    <row r="23" spans="2:11" ht="30" x14ac:dyDescent="0.25">
      <c r="B23" s="2">
        <v>21</v>
      </c>
      <c r="C23" s="3" t="s">
        <v>73</v>
      </c>
      <c r="D23" s="3" t="s">
        <v>78</v>
      </c>
      <c r="E23" s="3" t="s">
        <v>79</v>
      </c>
      <c r="F23" s="2" t="s">
        <v>21</v>
      </c>
      <c r="G23" s="2" t="s">
        <v>5</v>
      </c>
      <c r="H23" s="2" t="s">
        <v>2</v>
      </c>
      <c r="I23" s="2"/>
      <c r="J23" s="3" t="s">
        <v>80</v>
      </c>
      <c r="K23" s="3"/>
    </row>
    <row r="24" spans="2:11" ht="30" x14ac:dyDescent="0.25">
      <c r="B24" s="4">
        <v>22</v>
      </c>
      <c r="C24" s="5" t="s">
        <v>81</v>
      </c>
      <c r="D24" s="5" t="s">
        <v>82</v>
      </c>
      <c r="E24" s="5" t="s">
        <v>83</v>
      </c>
      <c r="F24" s="4" t="s">
        <v>21</v>
      </c>
      <c r="G24" s="4" t="s">
        <v>6</v>
      </c>
      <c r="H24" s="4" t="s">
        <v>2</v>
      </c>
      <c r="I24" s="4"/>
      <c r="J24" s="5" t="s">
        <v>84</v>
      </c>
      <c r="K24" s="5"/>
    </row>
    <row r="25" spans="2:11" x14ac:dyDescent="0.25">
      <c r="B25" s="2">
        <v>23</v>
      </c>
      <c r="C25" s="3" t="s">
        <v>81</v>
      </c>
      <c r="D25" s="3" t="s">
        <v>85</v>
      </c>
      <c r="E25" s="3" t="s">
        <v>86</v>
      </c>
      <c r="F25" s="2" t="s">
        <v>21</v>
      </c>
      <c r="G25" s="2" t="s">
        <v>6</v>
      </c>
      <c r="H25" s="2" t="s">
        <v>2</v>
      </c>
      <c r="I25" s="2"/>
      <c r="J25" s="3" t="s">
        <v>87</v>
      </c>
      <c r="K25" s="3"/>
    </row>
    <row r="26" spans="2:11" ht="30" x14ac:dyDescent="0.25">
      <c r="B26" s="4">
        <v>24</v>
      </c>
      <c r="C26" s="5" t="s">
        <v>88</v>
      </c>
      <c r="D26" s="5" t="s">
        <v>89</v>
      </c>
      <c r="E26" s="5" t="s">
        <v>90</v>
      </c>
      <c r="F26" s="4" t="s">
        <v>21</v>
      </c>
      <c r="G26" s="4" t="s">
        <v>6</v>
      </c>
      <c r="H26" s="4" t="s">
        <v>2</v>
      </c>
      <c r="I26" s="4"/>
      <c r="J26" s="5" t="s">
        <v>84</v>
      </c>
      <c r="K26" s="5"/>
    </row>
    <row r="27" spans="2:11" ht="30" x14ac:dyDescent="0.25">
      <c r="B27" s="2">
        <v>25</v>
      </c>
      <c r="C27" s="3" t="s">
        <v>91</v>
      </c>
      <c r="D27" s="3" t="s">
        <v>92</v>
      </c>
      <c r="E27" s="3" t="s">
        <v>93</v>
      </c>
      <c r="F27" s="2" t="s">
        <v>21</v>
      </c>
      <c r="G27" s="2" t="s">
        <v>5</v>
      </c>
      <c r="H27" s="2" t="s">
        <v>2</v>
      </c>
      <c r="I27" s="2"/>
      <c r="J27" s="3" t="s">
        <v>94</v>
      </c>
      <c r="K27" s="3"/>
    </row>
    <row r="28" spans="2:11" ht="45" x14ac:dyDescent="0.25">
      <c r="B28" s="4">
        <v>26</v>
      </c>
      <c r="C28" s="5" t="s">
        <v>91</v>
      </c>
      <c r="D28" s="5" t="s">
        <v>95</v>
      </c>
      <c r="E28" s="5" t="s">
        <v>96</v>
      </c>
      <c r="F28" s="4" t="s">
        <v>21</v>
      </c>
      <c r="G28" s="4" t="s">
        <v>5</v>
      </c>
      <c r="H28" s="4" t="s">
        <v>2</v>
      </c>
      <c r="I28" s="4"/>
      <c r="J28" s="5" t="s">
        <v>97</v>
      </c>
      <c r="K28" s="5"/>
    </row>
  </sheetData>
  <autoFilter ref="B2:K28" xr:uid="{00000000-0009-0000-0000-000001000000}"/>
  <conditionalFormatting sqref="G3:G77">
    <cfRule type="cellIs" dxfId="5" priority="1" stopIfTrue="1" operator="equal">
      <formula>"Critical"</formula>
    </cfRule>
    <cfRule type="cellIs" dxfId="4" priority="2" stopIfTrue="1" operator="equal">
      <formula>"High"</formula>
    </cfRule>
    <cfRule type="cellIs" dxfId="3" priority="3" stopIfTrue="1" operator="equal">
      <formula>"Medium"</formula>
    </cfRule>
  </conditionalFormatting>
  <conditionalFormatting sqref="H3:H77">
    <cfRule type="cellIs" dxfId="2" priority="4" stopIfTrue="1" operator="equal">
      <formula>"Closed"</formula>
    </cfRule>
    <cfRule type="cellIs" dxfId="1" priority="5" stopIfTrue="1" operator="equal">
      <formula>"NCC Closed"</formula>
    </cfRule>
    <cfRule type="cellIs" dxfId="0" priority="6" stopIfTrue="1" operator="equal">
      <formula>"Open"</formula>
    </cfRule>
  </conditionalFormatting>
  <dataValidations count="3">
    <dataValidation type="list" allowBlank="1" sqref="F3:F77" xr:uid="{00000000-0002-0000-0100-000000000000}">
      <formula1>"IPIC,NCC,NCC / IPIC,Joint"</formula1>
    </dataValidation>
    <dataValidation type="list" allowBlank="1" sqref="G3:G77" xr:uid="{00000000-0002-0000-0100-000001000000}">
      <formula1>"Critical,High,Medium,Low"</formula1>
    </dataValidation>
    <dataValidation type="list" allowBlank="1" sqref="H3:H77" xr:uid="{00000000-0002-0000-0100-000002000000}">
      <formula1>"Open,In Progress,NCC Closed,Closed"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Action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 Masadeh</cp:lastModifiedBy>
  <dcterms:created xsi:type="dcterms:W3CDTF">2026-08-11T08:52:50Z</dcterms:created>
  <dcterms:modified xsi:type="dcterms:W3CDTF">2026-08-11T09:31:06Z</dcterms:modified>
</cp:coreProperties>
</file>