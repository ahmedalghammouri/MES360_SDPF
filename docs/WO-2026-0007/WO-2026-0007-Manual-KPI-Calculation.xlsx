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 Cover" sheetId="1" state="visible" r:id="rId1"/>
    <sheet xmlns:r="http://schemas.openxmlformats.org/officeDocument/2006/relationships" name="1 · Inputs-Production" sheetId="2" state="visible" r:id="rId2"/>
    <sheet xmlns:r="http://schemas.openxmlformats.org/officeDocument/2006/relationships" name="2 · Inputs-Stoppages" sheetId="3" state="visible" r:id="rId3"/>
    <sheet xmlns:r="http://schemas.openxmlformats.org/officeDocument/2006/relationships" name="3 · Inputs-Rates" sheetId="4" state="visible" r:id="rId4"/>
    <sheet xmlns:r="http://schemas.openxmlformats.org/officeDocument/2006/relationships" name="4 · Manual KPI" sheetId="5" state="visible" r:id="rId5"/>
    <sheet xmlns:r="http://schemas.openxmlformats.org/officeDocument/2006/relationships" name="4b · OEE Scenarios" sheetId="6" state="visible" r:id="rId6"/>
    <sheet xmlns:r="http://schemas.openxmlformats.org/officeDocument/2006/relationships" name="5 · Per-Machine KPI" sheetId="7" state="visible" r:id="rId7"/>
    <sheet xmlns:r="http://schemas.openxmlformats.org/officeDocument/2006/relationships" name="6 · Downtime Pareto" sheetId="8" state="visible" r:id="rId8"/>
    <sheet xmlns:r="http://schemas.openxmlformats.org/officeDocument/2006/relationships" name="7 · Manual vs System" sheetId="9" state="visible" r:id="rId9"/>
    <sheet xmlns:r="http://schemas.openxmlformats.org/officeDocument/2006/relationships" name="8 · Data Issues"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quot;%&quot;"/>
    <numFmt numFmtId="166" formatCode="0.00&quot;%&quot;"/>
  </numFmts>
  <fonts count="6">
    <font>
      <name val="Calibri"/>
      <family val="2"/>
      <color theme="1"/>
      <sz val="11"/>
      <scheme val="minor"/>
    </font>
    <font>
      <name val="Calibri"/>
      <b val="1"/>
      <color rgb="00FFFFFF"/>
      <sz val="16"/>
    </font>
    <font>
      <name val="Calibri"/>
      <b val="1"/>
      <sz val="11"/>
    </font>
    <font>
      <name val="Calibri"/>
      <sz val="11"/>
    </font>
    <font>
      <name val="Calibri"/>
      <i val="1"/>
      <color rgb="00666666"/>
      <sz val="9"/>
    </font>
    <font>
      <name val="Calibri"/>
      <b val="1"/>
      <color rgb="00FFFFFF"/>
      <sz val="11"/>
    </font>
  </fonts>
  <fills count="9">
    <fill>
      <patternFill/>
    </fill>
    <fill>
      <patternFill patternType="gray125"/>
    </fill>
    <fill>
      <patternFill patternType="solid">
        <fgColor rgb="000B2545"/>
      </patternFill>
    </fill>
    <fill>
      <patternFill patternType="solid">
        <fgColor rgb="00134074"/>
      </patternFill>
    </fill>
    <fill>
      <patternFill patternType="solid">
        <fgColor rgb="00FFF3CD"/>
      </patternFill>
    </fill>
    <fill>
      <patternFill patternType="solid">
        <fgColor rgb="00F2F5F8"/>
      </patternFill>
    </fill>
    <fill>
      <patternFill patternType="solid">
        <fgColor rgb="00D5F0DC"/>
      </patternFill>
    </fill>
    <fill>
      <patternFill patternType="solid">
        <fgColor rgb="00FFE3C2"/>
      </patternFill>
    </fill>
    <fill>
      <patternFill patternType="solid">
        <fgColor rgb="00FBD5D5"/>
      </patternFill>
    </fill>
  </fills>
  <borders count="2">
    <border>
      <left/>
      <right/>
      <top/>
      <bottom/>
      <diagonal/>
    </border>
    <border>
      <left style="thin">
        <color rgb="00C6CDD5"/>
      </left>
      <right style="thin">
        <color rgb="00C6CDD5"/>
      </right>
      <top style="thin">
        <color rgb="00C6CDD5"/>
      </top>
      <bottom style="thin">
        <color rgb="00C6CDD5"/>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3" borderId="1" applyAlignment="1" pivotButton="0" quotePrefix="0" xfId="0">
      <alignment horizontal="center" vertical="center"/>
    </xf>
    <xf numFmtId="0" fontId="0" fillId="0" borderId="1" applyAlignment="1" pivotButton="0" quotePrefix="0" xfId="0">
      <alignment horizontal="center" vertical="center"/>
    </xf>
    <xf numFmtId="0" fontId="3" fillId="0" borderId="1" pivotButton="0" quotePrefix="0" xfId="0"/>
    <xf numFmtId="0" fontId="2" fillId="4" borderId="1" applyAlignment="1" pivotButton="0" quotePrefix="0" xfId="0">
      <alignment horizontal="center" vertical="center"/>
    </xf>
    <xf numFmtId="0" fontId="4" fillId="0" borderId="1" applyAlignment="1" pivotButton="0" quotePrefix="0" xfId="0">
      <alignment horizontal="left" vertical="center" wrapText="1"/>
    </xf>
    <xf numFmtId="3" fontId="2" fillId="4" borderId="1" applyAlignment="1" pivotButton="0" quotePrefix="0" xfId="0">
      <alignment horizontal="center" vertical="center"/>
    </xf>
    <xf numFmtId="0" fontId="0" fillId="3" borderId="0" pivotButton="0" quotePrefix="0" xfId="0"/>
    <xf numFmtId="0" fontId="5" fillId="3" borderId="0" pivotButton="0" quotePrefix="0" xfId="0"/>
    <xf numFmtId="0" fontId="0" fillId="0" borderId="1" pivotButton="0" quotePrefix="0" xfId="0"/>
    <xf numFmtId="4" fontId="2" fillId="4" borderId="1" applyAlignment="1" pivotButton="0" quotePrefix="0" xfId="0">
      <alignment horizontal="center" vertical="center"/>
    </xf>
    <xf numFmtId="0" fontId="4" fillId="5" borderId="0" applyAlignment="1" pivotButton="0" quotePrefix="0" xfId="0">
      <alignment horizontal="left" vertical="center" wrapText="1"/>
    </xf>
    <xf numFmtId="3" fontId="2" fillId="0" borderId="1" applyAlignment="1" pivotButton="0" quotePrefix="0" xfId="0">
      <alignment horizontal="center" vertical="center"/>
    </xf>
    <xf numFmtId="3" fontId="4" fillId="0" borderId="1" applyAlignment="1" pivotButton="0" quotePrefix="0" xfId="0">
      <alignment horizontal="center" vertical="center"/>
    </xf>
    <xf numFmtId="0" fontId="0" fillId="4" borderId="1" applyAlignment="1" pivotButton="0" quotePrefix="0" xfId="0">
      <alignment horizontal="left" vertical="center" wrapText="1"/>
    </xf>
    <xf numFmtId="0" fontId="3" fillId="0" borderId="1" applyAlignment="1" pivotButton="0" quotePrefix="0" xfId="0">
      <alignment horizontal="left" vertical="center" wrapText="1"/>
    </xf>
    <xf numFmtId="0" fontId="2" fillId="0" borderId="0" pivotButton="0" quotePrefix="0" xfId="0"/>
    <xf numFmtId="3" fontId="2" fillId="5" borderId="1" applyAlignment="1" pivotButton="0" quotePrefix="0" xfId="0">
      <alignment horizontal="center" vertical="center"/>
    </xf>
    <xf numFmtId="0" fontId="4" fillId="0" borderId="0" pivotButton="0" quotePrefix="0" xfId="0"/>
    <xf numFmtId="4" fontId="2" fillId="5" borderId="1" applyAlignment="1" pivotButton="0" quotePrefix="0" xfId="0">
      <alignment horizontal="center" vertical="center"/>
    </xf>
    <xf numFmtId="0" fontId="4" fillId="0" borderId="0" applyAlignment="1" pivotButton="0" quotePrefix="0" xfId="0">
      <alignment horizontal="center" vertical="center"/>
    </xf>
    <xf numFmtId="0" fontId="2" fillId="0" borderId="0" applyAlignment="1" pivotButton="0" quotePrefix="0" xfId="0">
      <alignment horizontal="right" vertical="center"/>
    </xf>
    <xf numFmtId="164" fontId="2" fillId="5" borderId="1" applyAlignment="1" pivotButton="0" quotePrefix="0" xfId="0">
      <alignment horizontal="center" vertical="center"/>
    </xf>
    <xf numFmtId="166" fontId="2" fillId="5" borderId="1" applyAlignment="1" pivotButton="0" quotePrefix="0" xfId="0">
      <alignment horizontal="center" vertical="center"/>
    </xf>
    <xf numFmtId="166" fontId="2" fillId="6" borderId="1" applyAlignment="1" pivotButton="0" quotePrefix="0" xfId="0">
      <alignment horizontal="center" vertical="center"/>
    </xf>
    <xf numFmtId="0" fontId="5" fillId="3" borderId="0" applyAlignment="1" pivotButton="0" quotePrefix="0" xfId="0">
      <alignment horizontal="center" vertical="center"/>
    </xf>
    <xf numFmtId="164" fontId="0" fillId="8" borderId="1" applyAlignment="1" pivotButton="0" quotePrefix="0" xfId="0">
      <alignment horizontal="center" vertical="center"/>
    </xf>
    <xf numFmtId="165" fontId="0" fillId="8" borderId="1" applyAlignment="1" pivotButton="0" quotePrefix="0" xfId="0">
      <alignment horizontal="center" vertical="center"/>
    </xf>
    <xf numFmtId="164" fontId="0" fillId="6" borderId="1" applyAlignment="1" pivotButton="0" quotePrefix="0" xfId="0">
      <alignment horizontal="center" vertical="center"/>
    </xf>
    <xf numFmtId="165" fontId="0" fillId="6"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3" fontId="0" fillId="0" borderId="1" applyAlignment="1" pivotButton="0" quotePrefix="0" xfId="0">
      <alignment horizontal="center" vertical="center"/>
    </xf>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65" fontId="2" fillId="6" borderId="1" applyAlignment="1" pivotButton="0" quotePrefix="0" xfId="0">
      <alignment horizontal="center" vertical="center"/>
    </xf>
    <xf numFmtId="165" fontId="2" fillId="5" borderId="1" applyAlignment="1" pivotButton="0" quotePrefix="0" xfId="0">
      <alignment horizontal="center" vertical="center"/>
    </xf>
    <xf numFmtId="165" fontId="2" fillId="7" borderId="1" applyAlignment="1" pivotButton="0" quotePrefix="0" xfId="0">
      <alignment horizontal="center" vertical="center"/>
    </xf>
    <xf numFmtId="4" fontId="0" fillId="0" borderId="1" applyAlignment="1" pivotButton="0" quotePrefix="0" xfId="0">
      <alignment horizontal="center" vertical="center"/>
    </xf>
    <xf numFmtId="165" fontId="2" fillId="0" borderId="1" applyAlignment="1" pivotButton="0" quotePrefix="0" xfId="0">
      <alignment horizontal="center" vertical="center"/>
    </xf>
    <xf numFmtId="166" fontId="2" fillId="4" borderId="1" applyAlignment="1" pivotButton="0" quotePrefix="0" xfId="0">
      <alignment horizontal="center" vertical="center"/>
    </xf>
    <xf numFmtId="166" fontId="0" fillId="0" borderId="1" applyAlignment="1" pivotButton="0" quotePrefix="0" xfId="0">
      <alignment horizontal="center" vertical="center"/>
    </xf>
    <xf numFmtId="164" fontId="2" fillId="4" borderId="1" applyAlignment="1" pivotButton="0" quotePrefix="0" xfId="0">
      <alignment horizontal="center" vertical="center"/>
    </xf>
    <xf numFmtId="0" fontId="2" fillId="8" borderId="1" applyAlignment="1" pivotButton="0" quotePrefix="0" xfId="0">
      <alignment horizontal="center" vertical="center"/>
    </xf>
    <xf numFmtId="0" fontId="2" fillId="7"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showGridLines="0" workbookViewId="0">
      <selection pane="bottomLeft" activeCell="A1" sqref="A1"/>
    </sheetView>
  </sheetViews>
  <sheetFormatPr baseColWidth="8" defaultRowHeight="15"/>
  <cols>
    <col width="34" customWidth="1" min="1" max="1"/>
    <col width="62" customWidth="1" min="2" max="2"/>
    <col width="40" customWidth="1" min="3" max="3"/>
  </cols>
  <sheetData>
    <row r="1" ht="30" customHeight="1">
      <c r="A1" s="1" t="inlineStr">
        <is>
          <t>MES360°  —  WO-2026-0007  ·  Manual KPI Calculation</t>
        </is>
      </c>
    </row>
    <row r="3" ht="46" customHeight="1">
      <c r="A3" s="2" t="inlineStr">
        <is>
          <t>Purpose</t>
        </is>
      </c>
      <c r="B3" s="3" t="inlineStr">
        <is>
          <t>Independent hand-calculation of every production KPI for the BETTI line on 28-07-2026, from the client's manually recorded data only. Used as the reference baseline against which the MES360 system output is compared.</t>
        </is>
      </c>
      <c r="C3" s="4" t="inlineStr"/>
    </row>
    <row r="4">
      <c r="A4" s="2" t="inlineStr">
        <is>
          <t>Source — production / stoppage / waste</t>
        </is>
      </c>
      <c r="B4" s="3" t="inlineStr">
        <is>
          <t>docs/recived from client/BETTI Production Line  Stoppages and Waste Log  28072026.xlsx</t>
        </is>
      </c>
      <c r="C4" s="4" t="inlineStr">
        <is>
          <t>as received</t>
        </is>
      </c>
    </row>
    <row r="5">
      <c r="A5" s="2" t="inlineStr">
        <is>
          <t>Source — machine rates</t>
        </is>
      </c>
      <c r="B5" s="3" t="inlineStr">
        <is>
          <t>docs/recived from client/Betti Production Line  Production Rate.xlsx</t>
        </is>
      </c>
      <c r="C5" s="4" t="inlineStr">
        <is>
          <t>as received</t>
        </is>
      </c>
    </row>
    <row r="6">
      <c r="A6" s="2" t="inlineStr">
        <is>
          <t>Source — product master</t>
        </is>
      </c>
      <c r="B6" s="3" t="inlineStr">
        <is>
          <t>docs/master data inventory/BB Item (3).xlsx  +  sdpf big betti production details.xlsx</t>
        </is>
      </c>
      <c r="C6" s="4" t="inlineStr">
        <is>
          <t>already loaded in MES360</t>
        </is>
      </c>
    </row>
    <row r="7">
      <c r="A7" s="2" t="inlineStr"/>
      <c r="B7" s="3" t="inlineStr"/>
      <c r="C7" s="4" t="inlineStr"/>
    </row>
    <row r="8">
      <c r="A8" s="2" t="inlineStr">
        <is>
          <t>Factory</t>
        </is>
      </c>
      <c r="B8" s="3" t="inlineStr">
        <is>
          <t>SDPF — Saudi Detergent Powder Factory</t>
        </is>
      </c>
      <c r="C8" s="4" t="inlineStr">
        <is>
          <t>PoC factory</t>
        </is>
      </c>
    </row>
    <row r="9">
      <c r="A9" s="2" t="inlineStr">
        <is>
          <t>Line</t>
        </is>
      </c>
      <c r="B9" s="3" t="inlineStr">
        <is>
          <t>PL-01 — Powder Packing Line 1 ("BETTI Production Line")</t>
        </is>
      </c>
      <c r="C9" s="4" t="inlineStr"/>
    </row>
    <row r="10">
      <c r="A10" s="2" t="inlineStr">
        <is>
          <t>Machines</t>
        </is>
      </c>
      <c r="B10" s="3" t="inlineStr">
        <is>
          <t>M1 Big Betti · M2 Checkweigher · M3 Cartomac · M4 Euro-Pack Robot · M5 Uni-tech Wrapping</t>
        </is>
      </c>
      <c r="C10" s="4" t="inlineStr"/>
    </row>
    <row r="11">
      <c r="A11" s="2" t="inlineStr">
        <is>
          <t>Product</t>
        </is>
      </c>
      <c r="B11" s="3" t="inlineStr">
        <is>
          <t>10310064 — Alwatani Powder Detergent · Violet HF · 6 × 2 Kg Carton</t>
        </is>
      </c>
      <c r="C11" s="4" t="inlineStr"/>
    </row>
    <row r="12">
      <c r="A12" s="2" t="inlineStr">
        <is>
          <t>Production date</t>
        </is>
      </c>
      <c r="B12" s="3" t="inlineStr">
        <is>
          <t>28-07-2026</t>
        </is>
      </c>
      <c r="C12" s="4" t="inlineStr">
        <is>
          <t>Tuesday</t>
        </is>
      </c>
    </row>
    <row r="13">
      <c r="A13" s="2" t="inlineStr">
        <is>
          <t>Production window</t>
        </is>
      </c>
      <c r="B13" s="3" t="inlineStr">
        <is>
          <t>08:00 → 16:30</t>
        </is>
      </c>
      <c r="C13" s="4" t="inlineStr">
        <is>
          <t>510 minutes</t>
        </is>
      </c>
    </row>
    <row r="14">
      <c r="A14" s="2" t="inlineStr"/>
      <c r="B14" s="3" t="inlineStr"/>
      <c r="C14" s="4" t="inlineStr"/>
    </row>
    <row r="15" ht="46" customHeight="1">
      <c r="A15" s="2" t="inlineStr">
        <is>
          <t>How to read this workbook</t>
        </is>
      </c>
      <c r="B15" s="3" t="inlineStr">
        <is>
          <t>Yellow cells are INPUTS transcribed from the client's files — nothing else is typed. Every white/grey cell is a live Excel formula. Change an input and every KPI recalculates.</t>
        </is>
      </c>
      <c r="C15" s="4" t="inlineStr"/>
    </row>
    <row r="16">
      <c r="A16" s="2" t="inlineStr">
        <is>
          <t>Sheet 1 · Inputs — Production</t>
        </is>
      </c>
      <c r="B16" s="3" t="inlineStr">
        <is>
          <t>Quantities produced and waste, exactly as logged.</t>
        </is>
      </c>
      <c r="C16" s="4" t="inlineStr"/>
    </row>
    <row r="17">
      <c r="A17" s="2" t="inlineStr">
        <is>
          <t>Sheet 2 · Inputs — Stoppages</t>
        </is>
      </c>
      <c r="B17" s="3" t="inlineStr">
        <is>
          <t>All 14 stoppage events, with duration recomputed from start/end.</t>
        </is>
      </c>
      <c r="C17" s="4" t="inlineStr"/>
    </row>
    <row r="18">
      <c r="A18" s="2" t="inlineStr">
        <is>
          <t>Sheet 3 · Inputs — Machine Rates</t>
        </is>
      </c>
      <c r="B18" s="3" t="inlineStr">
        <is>
          <t>The 5-run rate test, converted to ideal cycle times.</t>
        </is>
      </c>
      <c r="C18" s="4" t="inlineStr"/>
    </row>
    <row r="19">
      <c r="A19" s="2" t="inlineStr">
        <is>
          <t>Sheet 4 · Manual KPI</t>
        </is>
      </c>
      <c r="B19" s="3" t="inlineStr">
        <is>
          <t>The line OEE calculation — six scenarios, ISO 22400 and as-built.</t>
        </is>
      </c>
      <c r="C19" s="4" t="inlineStr"/>
    </row>
    <row r="20">
      <c r="A20" s="2" t="inlineStr">
        <is>
          <t>Sheet 5 · Per-Machine KPI</t>
        </is>
      </c>
      <c r="B20" s="3" t="inlineStr">
        <is>
          <t>The same calculation resolved to each machine.</t>
        </is>
      </c>
      <c r="C20" s="4" t="inlineStr"/>
    </row>
    <row r="21">
      <c r="A21" s="2" t="inlineStr">
        <is>
          <t>Sheet 6 · Downtime Pareto</t>
        </is>
      </c>
      <c r="B21" s="3" t="inlineStr">
        <is>
          <t>Loss ranking by category — the improvement shortlist.</t>
        </is>
      </c>
      <c r="C21" s="4" t="inlineStr"/>
    </row>
    <row r="22">
      <c r="A22" s="2" t="inlineStr">
        <is>
          <t>Sheet 7 · Manual vs System</t>
        </is>
      </c>
      <c r="B22" s="3" t="inlineStr">
        <is>
          <t>Side-by-side gap table. System column is filled by the verify script.</t>
        </is>
      </c>
      <c r="C22" s="4" t="inlineStr"/>
    </row>
    <row r="23">
      <c r="A23" s="2" t="inlineStr">
        <is>
          <t>Sheet 8 · Data Issues</t>
        </is>
      </c>
      <c r="B23" s="3" t="inlineStr">
        <is>
          <t>Contradictions found inside the client's own data — needs their answer.</t>
        </is>
      </c>
      <c r="C23" s="4" t="inlineStr"/>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16" customWidth="1" min="3" max="3"/>
    <col width="12" customWidth="1" min="4" max="4"/>
    <col width="30" customWidth="1" min="5" max="5"/>
    <col width="44" customWidth="1" min="6" max="6"/>
  </cols>
  <sheetData>
    <row r="1" ht="30" customHeight="1">
      <c r="A1" s="1" t="inlineStr">
        <is>
          <t>Inputs — Production, Waste &amp; Product Master   (yellow = transcribed from client file)</t>
        </is>
      </c>
    </row>
    <row r="3" ht="30" customHeight="1">
      <c r="A3" s="5" t="inlineStr">
        <is>
          <t>#</t>
        </is>
      </c>
      <c r="B3" s="5" t="inlineStr">
        <is>
          <t>Item</t>
        </is>
      </c>
      <c r="C3" s="5" t="inlineStr">
        <is>
          <t>Value</t>
        </is>
      </c>
      <c r="D3" s="5" t="inlineStr">
        <is>
          <t>Unit</t>
        </is>
      </c>
      <c r="E3" s="5" t="inlineStr">
        <is>
          <t>Recorded at machine</t>
        </is>
      </c>
      <c r="F3" s="5" t="inlineStr">
        <is>
          <t>Note</t>
        </is>
      </c>
    </row>
    <row r="4">
      <c r="A4" s="6" t="n">
        <v>1</v>
      </c>
      <c r="B4" s="7" t="inlineStr">
        <is>
          <t>Production date</t>
        </is>
      </c>
      <c r="C4" s="8" t="inlineStr">
        <is>
          <t>2026-07-28</t>
        </is>
      </c>
      <c r="D4" s="6" t="inlineStr"/>
      <c r="E4" s="7" t="inlineStr"/>
      <c r="F4" s="9" t="inlineStr">
        <is>
          <t>client log, cell E5</t>
        </is>
      </c>
    </row>
    <row r="5">
      <c r="A5" s="6" t="n">
        <v>2</v>
      </c>
      <c r="B5" s="7" t="inlineStr">
        <is>
          <t>Production start</t>
        </is>
      </c>
      <c r="C5" s="8" t="inlineStr">
        <is>
          <t>08:00</t>
        </is>
      </c>
      <c r="D5" s="6" t="inlineStr"/>
      <c r="E5" s="7" t="inlineStr"/>
      <c r="F5" s="9" t="inlineStr">
        <is>
          <t>client log, cell E7</t>
        </is>
      </c>
    </row>
    <row r="6">
      <c r="A6" s="6" t="n">
        <v>3</v>
      </c>
      <c r="B6" s="7" t="inlineStr">
        <is>
          <t>Production end</t>
        </is>
      </c>
      <c r="C6" s="8" t="inlineStr">
        <is>
          <t>16:30</t>
        </is>
      </c>
      <c r="D6" s="6" t="inlineStr"/>
      <c r="E6" s="7" t="inlineStr"/>
      <c r="F6" s="9" t="inlineStr">
        <is>
          <t>client log, cell E8</t>
        </is>
      </c>
    </row>
    <row r="7">
      <c r="A7" s="6" t="n">
        <v>4</v>
      </c>
      <c r="B7" s="7" t="inlineStr">
        <is>
          <t>Quantity — Inner Carton (Duplex)</t>
        </is>
      </c>
      <c r="C7" s="10" t="n">
        <v>6720</v>
      </c>
      <c r="D7" s="6" t="inlineStr">
        <is>
          <t>piece</t>
        </is>
      </c>
      <c r="E7" s="7" t="inlineStr">
        <is>
          <t>M1 Big Betti Filling</t>
        </is>
      </c>
      <c r="F7" s="9" t="inlineStr">
        <is>
          <t>the 2 Kg retail pack</t>
        </is>
      </c>
    </row>
    <row r="8">
      <c r="A8" s="6" t="n">
        <v>5</v>
      </c>
      <c r="B8" s="7" t="inlineStr">
        <is>
          <t>Quantity — Outer Carton</t>
        </is>
      </c>
      <c r="C8" s="10" t="n">
        <v>1120</v>
      </c>
      <c r="D8" s="6" t="inlineStr">
        <is>
          <t>piece</t>
        </is>
      </c>
      <c r="E8" s="7" t="inlineStr">
        <is>
          <t>M3 Cartomac</t>
        </is>
      </c>
      <c r="F8" s="9" t="inlineStr">
        <is>
          <t>6 inner packs per outer carton</t>
        </is>
      </c>
    </row>
    <row r="9">
      <c r="A9" s="6" t="n">
        <v>6</v>
      </c>
      <c r="B9" s="7" t="inlineStr">
        <is>
          <t>Quantity — FG Pallet</t>
        </is>
      </c>
      <c r="C9" s="10" t="n">
        <v>28</v>
      </c>
      <c r="D9" s="6" t="inlineStr">
        <is>
          <t>piece</t>
        </is>
      </c>
      <c r="E9" s="7" t="inlineStr">
        <is>
          <t>M4 Euro-Pack + M5 Uni-tech</t>
        </is>
      </c>
      <c r="F9" s="9" t="inlineStr">
        <is>
          <t>see Sheet 8 — conflicts with master data</t>
        </is>
      </c>
    </row>
    <row r="10">
      <c r="A10" s="6" t="n">
        <v>7</v>
      </c>
      <c r="B10" s="7" t="inlineStr">
        <is>
          <t>Waste — Inner Carton (Duplex)</t>
        </is>
      </c>
      <c r="C10" s="10" t="n">
        <v>86</v>
      </c>
      <c r="D10" s="6" t="inlineStr">
        <is>
          <t>piece</t>
        </is>
      </c>
      <c r="E10" s="7" t="inlineStr">
        <is>
          <t>M1 Big Betti</t>
        </is>
      </c>
      <c r="F10" s="9" t="inlineStr"/>
    </row>
    <row r="11">
      <c r="A11" s="6" t="n">
        <v>8</v>
      </c>
      <c r="B11" s="7" t="inlineStr">
        <is>
          <t>Waste — Outer Carton</t>
        </is>
      </c>
      <c r="C11" s="10" t="n">
        <v>19</v>
      </c>
      <c r="D11" s="6" t="inlineStr">
        <is>
          <t>piece</t>
        </is>
      </c>
      <c r="E11" s="7" t="inlineStr">
        <is>
          <t>M3 Cartomac</t>
        </is>
      </c>
      <c r="F11" s="9" t="inlineStr"/>
    </row>
    <row r="12">
      <c r="A12" s="6" t="n">
        <v>9</v>
      </c>
      <c r="B12" s="7" t="inlineStr">
        <is>
          <t>Waste — Powder</t>
        </is>
      </c>
      <c r="C12" s="10" t="n">
        <v>300</v>
      </c>
      <c r="D12" s="6" t="inlineStr">
        <is>
          <t>kg</t>
        </is>
      </c>
      <c r="E12" s="7" t="inlineStr">
        <is>
          <t>M1 Big Betti</t>
        </is>
      </c>
      <c r="F12" s="9" t="inlineStr">
        <is>
          <t>material loss, not a unit reject</t>
        </is>
      </c>
    </row>
    <row r="14">
      <c r="A14" s="11" t="n"/>
      <c r="B14" s="12" t="inlineStr">
        <is>
          <t>PRODUCT MASTER  (already in MES360)</t>
        </is>
      </c>
      <c r="C14" s="11" t="n"/>
      <c r="D14" s="11" t="n"/>
      <c r="E14" s="11" t="n"/>
      <c r="F14" s="11" t="n"/>
    </row>
    <row r="15">
      <c r="A15" s="13" t="n"/>
      <c r="B15" s="7" t="inlineStr">
        <is>
          <t>SKU / item number</t>
        </is>
      </c>
      <c r="C15" s="10" t="n">
        <v>10310064</v>
      </c>
      <c r="D15" s="6" t="inlineStr"/>
      <c r="E15" s="13" t="n"/>
      <c r="F15" s="9" t="inlineStr">
        <is>
          <t>BB Item (3).xlsx</t>
        </is>
      </c>
    </row>
    <row r="16">
      <c r="A16" s="13" t="n"/>
      <c r="B16" s="7" t="inlineStr">
        <is>
          <t>Inner packs per outer carton</t>
        </is>
      </c>
      <c r="C16" s="10" t="n">
        <v>6</v>
      </c>
      <c r="D16" s="6" t="inlineStr">
        <is>
          <t>pc/ctn</t>
        </is>
      </c>
      <c r="E16" s="13" t="n"/>
      <c r="F16" s="9" t="inlineStr">
        <is>
          <t>BB Item — "PC IN CARTON"</t>
        </is>
      </c>
    </row>
    <row r="17">
      <c r="A17" s="13" t="n"/>
      <c r="B17" s="7" t="inlineStr">
        <is>
          <t>Outer cartons per pallet</t>
        </is>
      </c>
      <c r="C17" s="10" t="n">
        <v>32</v>
      </c>
      <c r="D17" s="6" t="inlineStr">
        <is>
          <t>ctn/pal</t>
        </is>
      </c>
      <c r="E17" s="13" t="n"/>
      <c r="F17" s="9" t="inlineStr">
        <is>
          <t>BB Item — "Pallet"; BOM confirms 1/0.031262 = 32.0</t>
        </is>
      </c>
    </row>
    <row r="18">
      <c r="A18" s="13" t="n"/>
      <c r="B18" s="7" t="inlineStr">
        <is>
          <t>Powder per outer carton</t>
        </is>
      </c>
      <c r="C18" s="10" t="n">
        <v>12</v>
      </c>
      <c r="D18" s="6" t="inlineStr">
        <is>
          <t>kg/ctn</t>
        </is>
      </c>
      <c r="E18" s="13" t="n"/>
      <c r="F18" s="9" t="inlineStr">
        <is>
          <t>BOM line 20300009 Al Watani HF Violet Powder</t>
        </is>
      </c>
    </row>
    <row r="19">
      <c r="A19" s="13" t="n"/>
      <c r="B19" s="7" t="inlineStr">
        <is>
          <t>Pack weight</t>
        </is>
      </c>
      <c r="C19" s="14" t="n">
        <v>2</v>
      </c>
      <c r="D19" s="6" t="inlineStr">
        <is>
          <t>kg</t>
        </is>
      </c>
      <c r="E19" s="13" t="n"/>
      <c r="F19" s="9" t="inlineStr">
        <is>
          <t>6 × 2 Kg</t>
        </is>
      </c>
    </row>
    <row r="20">
      <c r="A20" s="13" t="n"/>
      <c r="B20" s="7" t="inlineStr">
        <is>
          <t>BOM hourly machine target</t>
        </is>
      </c>
      <c r="C20" s="10" t="n">
        <v>325</v>
      </c>
      <c r="D20" s="6" t="inlineStr">
        <is>
          <t>ctn/h</t>
        </is>
      </c>
      <c r="E20" s="13" t="n"/>
      <c r="F20" s="9" t="inlineStr">
        <is>
          <t>BOM "1 HR Machine Target" — the planned line rate</t>
        </is>
      </c>
    </row>
    <row r="22">
      <c r="A22" s="15" t="inlineStr">
        <is>
          <t>Terminology: the client's "Inner Carton (Duplex)" is the individual 2 Kg consumer pack — BOM component 40330078 "Inner Carton Al Watani Violet 2 KG (EU Format)", 6 per outer case. 6720 ÷ 6 = 1120 outer cartons, which matches the logged outer-carton count exactly.</t>
        </is>
      </c>
    </row>
  </sheetData>
  <mergeCells count="2">
    <mergeCell ref="A22:F2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showGridLines="0" workbookViewId="0">
      <pane ySplit="3" topLeftCell="A4" activePane="bottomLeft" state="frozen"/>
      <selection pane="bottomLeft" activeCell="A1" sqref="A1"/>
    </sheetView>
  </sheetViews>
  <sheetFormatPr baseColWidth="8" defaultRowHeight="15"/>
  <cols>
    <col width="6" customWidth="1" min="1" max="1"/>
    <col width="18" customWidth="1" min="2" max="2"/>
    <col width="11" customWidth="1" min="3" max="3"/>
    <col width="11" customWidth="1" min="4" max="4"/>
    <col width="13" customWidth="1" min="5" max="5"/>
    <col width="13" customWidth="1" min="6" max="6"/>
    <col width="30" customWidth="1" min="7" max="7"/>
    <col width="44" customWidth="1" min="8" max="8"/>
    <col width="12" customWidth="1" min="9" max="9"/>
    <col width="12" customWidth="1" min="10" max="10"/>
  </cols>
  <sheetData>
    <row r="1" ht="30" customHeight="1">
      <c r="A1" s="1" t="inlineStr">
        <is>
          <t>Inputs — Stoppage Log   (duration is RECOMPUTED from start/end, not transcribed)</t>
        </is>
      </c>
    </row>
    <row r="3" ht="30" customHeight="1">
      <c r="A3" s="5" t="inlineStr">
        <is>
          <t>#</t>
        </is>
      </c>
      <c r="B3" s="5" t="inlineStr">
        <is>
          <t>Machine</t>
        </is>
      </c>
      <c r="C3" s="5" t="inlineStr">
        <is>
          <t>Start</t>
        </is>
      </c>
      <c r="D3" s="5" t="inlineStr">
        <is>
          <t>End</t>
        </is>
      </c>
      <c r="E3" s="5" t="inlineStr">
        <is>
          <t>Duration
(calc, min)</t>
        </is>
      </c>
      <c r="F3" s="5" t="inlineStr">
        <is>
          <t>Client
stated</t>
        </is>
      </c>
      <c r="G3" s="5" t="inlineStr">
        <is>
          <t>Category</t>
        </is>
      </c>
      <c r="H3" s="5" t="inlineStr">
        <is>
          <t>Description</t>
        </is>
      </c>
      <c r="I3" s="5" t="inlineStr">
        <is>
          <t>Planned?</t>
        </is>
      </c>
      <c r="J3" s="5" t="inlineStr">
        <is>
          <t>Micro-stop
(&lt;5 min)</t>
        </is>
      </c>
    </row>
    <row r="4">
      <c r="A4" s="6" t="n">
        <v>1</v>
      </c>
      <c r="B4" s="7" t="inlineStr">
        <is>
          <t>Big Betti</t>
        </is>
      </c>
      <c r="C4" s="8" t="inlineStr">
        <is>
          <t>08:00</t>
        </is>
      </c>
      <c r="D4" s="8" t="inlineStr">
        <is>
          <t>09:45</t>
        </is>
      </c>
      <c r="E4" s="16">
        <f>(VALUE(LEFT(D4,2))*60+VALUE(MID(D4,4,2)))-(VALUE(LEFT(C4,2))*60+VALUE(MID(C4,4,2)))</f>
        <v/>
      </c>
      <c r="F4" s="17" t="n">
        <v>105</v>
      </c>
      <c r="G4" s="18" t="inlineStr">
        <is>
          <t>Mechanical</t>
        </is>
      </c>
      <c r="H4" s="19" t="inlineStr">
        <is>
          <t>Machine Synchronization</t>
        </is>
      </c>
      <c r="I4" s="6">
        <f>IF(G4="Break","PLANNED","unplanned")</f>
        <v/>
      </c>
      <c r="J4" s="6">
        <f>IF(AND(E4&lt;5,I4="unplanned"),"yes","")</f>
        <v/>
      </c>
    </row>
    <row r="5">
      <c r="A5" s="6" t="n">
        <v>2</v>
      </c>
      <c r="B5" s="7" t="inlineStr">
        <is>
          <t>Big Betti</t>
        </is>
      </c>
      <c r="C5" s="8" t="inlineStr">
        <is>
          <t>09:50</t>
        </is>
      </c>
      <c r="D5" s="8" t="inlineStr">
        <is>
          <t>10:40</t>
        </is>
      </c>
      <c r="E5" s="16">
        <f>(VALUE(LEFT(D5,2))*60+VALUE(MID(D5,4,2)))-(VALUE(LEFT(C5,2))*60+VALUE(MID(C5,4,2)))</f>
        <v/>
      </c>
      <c r="F5" s="17" t="n">
        <v>50</v>
      </c>
      <c r="G5" s="18" t="inlineStr">
        <is>
          <t>Startup</t>
        </is>
      </c>
      <c r="H5" s="19" t="inlineStr">
        <is>
          <t>Machine Adjustments</t>
        </is>
      </c>
      <c r="I5" s="6">
        <f>IF(G5="Break","PLANNED","unplanned")</f>
        <v/>
      </c>
      <c r="J5" s="6">
        <f>IF(AND(E5&lt;5,I5="unplanned"),"yes","")</f>
        <v/>
      </c>
    </row>
    <row r="6">
      <c r="A6" s="6" t="n">
        <v>3</v>
      </c>
      <c r="B6" s="7" t="inlineStr">
        <is>
          <t>Big Betti</t>
        </is>
      </c>
      <c r="C6" s="8" t="inlineStr">
        <is>
          <t>11:20</t>
        </is>
      </c>
      <c r="D6" s="8" t="inlineStr">
        <is>
          <t>11:37</t>
        </is>
      </c>
      <c r="E6" s="16">
        <f>(VALUE(LEFT(D6,2))*60+VALUE(MID(D6,4,2)))-(VALUE(LEFT(C6,2))*60+VALUE(MID(C6,4,2)))</f>
        <v/>
      </c>
      <c r="F6" s="17" t="n">
        <v>17</v>
      </c>
      <c r="G6" s="18" t="inlineStr">
        <is>
          <t>Mechanical</t>
        </is>
      </c>
      <c r="H6" s="19" t="inlineStr">
        <is>
          <t>Glue Leakage</t>
        </is>
      </c>
      <c r="I6" s="6">
        <f>IF(G6="Break","PLANNED","unplanned")</f>
        <v/>
      </c>
      <c r="J6" s="6">
        <f>IF(AND(E6&lt;5,I6="unplanned"),"yes","")</f>
        <v/>
      </c>
    </row>
    <row r="7">
      <c r="A7" s="6" t="n">
        <v>4</v>
      </c>
      <c r="B7" s="7" t="inlineStr">
        <is>
          <t>Big Betti</t>
        </is>
      </c>
      <c r="C7" s="8" t="inlineStr">
        <is>
          <t>11:40</t>
        </is>
      </c>
      <c r="D7" s="8" t="inlineStr">
        <is>
          <t>11:42</t>
        </is>
      </c>
      <c r="E7" s="16">
        <f>(VALUE(LEFT(D7,2))*60+VALUE(MID(D7,4,2)))-(VALUE(LEFT(C7,2))*60+VALUE(MID(C7,4,2)))</f>
        <v/>
      </c>
      <c r="F7" s="17" t="n">
        <v>2</v>
      </c>
      <c r="G7" s="18" t="inlineStr">
        <is>
          <t>Mechanical</t>
        </is>
      </c>
      <c r="H7" s="19" t="inlineStr">
        <is>
          <t>Glue Removal</t>
        </is>
      </c>
      <c r="I7" s="6">
        <f>IF(G7="Break","PLANNED","unplanned")</f>
        <v/>
      </c>
      <c r="J7" s="6">
        <f>IF(AND(E7&lt;5,I7="unplanned"),"yes","")</f>
        <v/>
      </c>
    </row>
    <row r="8">
      <c r="A8" s="6" t="n">
        <v>5</v>
      </c>
      <c r="B8" s="7" t="inlineStr">
        <is>
          <t>Big Betti</t>
        </is>
      </c>
      <c r="C8" s="8" t="inlineStr">
        <is>
          <t>12:00</t>
        </is>
      </c>
      <c r="D8" s="8" t="inlineStr">
        <is>
          <t>12:30</t>
        </is>
      </c>
      <c r="E8" s="16">
        <f>(VALUE(LEFT(D8,2))*60+VALUE(MID(D8,4,2)))-(VALUE(LEFT(C8,2))*60+VALUE(MID(C8,4,2)))</f>
        <v/>
      </c>
      <c r="F8" s="17" t="n">
        <v>30</v>
      </c>
      <c r="G8" s="18" t="inlineStr">
        <is>
          <t>Break</t>
        </is>
      </c>
      <c r="H8" s="19" t="inlineStr">
        <is>
          <t>Lunch Break</t>
        </is>
      </c>
      <c r="I8" s="6">
        <f>IF(G8="Break","PLANNED","unplanned")</f>
        <v/>
      </c>
      <c r="J8" s="6">
        <f>IF(AND(E8&lt;5,I8="unplanned"),"yes","")</f>
        <v/>
      </c>
    </row>
    <row r="9">
      <c r="A9" s="6" t="n">
        <v>6</v>
      </c>
      <c r="B9" s="7" t="inlineStr">
        <is>
          <t>Big Betti</t>
        </is>
      </c>
      <c r="C9" s="8" t="inlineStr">
        <is>
          <t>12:38</t>
        </is>
      </c>
      <c r="D9" s="8" t="inlineStr">
        <is>
          <t>12:42</t>
        </is>
      </c>
      <c r="E9" s="16">
        <f>(VALUE(LEFT(D9,2))*60+VALUE(MID(D9,4,2)))-(VALUE(LEFT(C9,2))*60+VALUE(MID(C9,4,2)))</f>
        <v/>
      </c>
      <c r="F9" s="17" t="n">
        <v>4</v>
      </c>
      <c r="G9" s="18" t="inlineStr">
        <is>
          <t>Mechanical</t>
        </is>
      </c>
      <c r="H9" s="19" t="inlineStr">
        <is>
          <t>Rollers Conveyor Cleaning</t>
        </is>
      </c>
      <c r="I9" s="6">
        <f>IF(G9="Break","PLANNED","unplanned")</f>
        <v/>
      </c>
      <c r="J9" s="6">
        <f>IF(AND(E9&lt;5,I9="unplanned"),"yes","")</f>
        <v/>
      </c>
    </row>
    <row r="10">
      <c r="A10" s="6" t="n">
        <v>7</v>
      </c>
      <c r="B10" s="7" t="inlineStr">
        <is>
          <t>Big Betti</t>
        </is>
      </c>
      <c r="C10" s="8" t="inlineStr">
        <is>
          <t>12:52</t>
        </is>
      </c>
      <c r="D10" s="8" t="inlineStr">
        <is>
          <t>12:57</t>
        </is>
      </c>
      <c r="E10" s="16">
        <f>(VALUE(LEFT(D10,2))*60+VALUE(MID(D10,4,2)))-(VALUE(LEFT(C10,2))*60+VALUE(MID(C10,4,2)))</f>
        <v/>
      </c>
      <c r="F10" s="17" t="n">
        <v>5</v>
      </c>
      <c r="G10" s="18" t="inlineStr">
        <is>
          <t>Packaging Material Shortage</t>
        </is>
      </c>
      <c r="H10" s="19" t="inlineStr">
        <is>
          <t>Packaging defected - Dulpex (Inner Carton)</t>
        </is>
      </c>
      <c r="I10" s="6">
        <f>IF(G10="Break","PLANNED","unplanned")</f>
        <v/>
      </c>
      <c r="J10" s="6">
        <f>IF(AND(E10&lt;5,I10="unplanned"),"yes","")</f>
        <v/>
      </c>
    </row>
    <row r="11">
      <c r="A11" s="6" t="n">
        <v>8</v>
      </c>
      <c r="B11" s="7" t="inlineStr">
        <is>
          <t>Big Betti</t>
        </is>
      </c>
      <c r="C11" s="8" t="inlineStr">
        <is>
          <t>13:00</t>
        </is>
      </c>
      <c r="D11" s="8" t="inlineStr">
        <is>
          <t>13:04</t>
        </is>
      </c>
      <c r="E11" s="16">
        <f>(VALUE(LEFT(D11,2))*60+VALUE(MID(D11,4,2)))-(VALUE(LEFT(C11,2))*60+VALUE(MID(C11,4,2)))</f>
        <v/>
      </c>
      <c r="F11" s="17" t="n">
        <v>4</v>
      </c>
      <c r="G11" s="18" t="inlineStr">
        <is>
          <t>Powder Shortage</t>
        </is>
      </c>
      <c r="H11" s="19" t="inlineStr">
        <is>
          <t>No powder</t>
        </is>
      </c>
      <c r="I11" s="6">
        <f>IF(G11="Break","PLANNED","unplanned")</f>
        <v/>
      </c>
      <c r="J11" s="6">
        <f>IF(AND(E11&lt;5,I11="unplanned"),"yes","")</f>
        <v/>
      </c>
    </row>
    <row r="12">
      <c r="A12" s="6" t="n">
        <v>9</v>
      </c>
      <c r="B12" s="7" t="inlineStr">
        <is>
          <t>Big Betti</t>
        </is>
      </c>
      <c r="C12" s="8" t="inlineStr">
        <is>
          <t>13:18</t>
        </is>
      </c>
      <c r="D12" s="8" t="inlineStr">
        <is>
          <t>13:26</t>
        </is>
      </c>
      <c r="E12" s="16">
        <f>(VALUE(LEFT(D12,2))*60+VALUE(MID(D12,4,2)))-(VALUE(LEFT(C12,2))*60+VALUE(MID(C12,4,2)))</f>
        <v/>
      </c>
      <c r="F12" s="17" t="n">
        <v>8</v>
      </c>
      <c r="G12" s="18" t="inlineStr">
        <is>
          <t>Mechanical</t>
        </is>
      </c>
      <c r="H12" s="19" t="inlineStr">
        <is>
          <t>Open Dulpex - Guide Adjustment</t>
        </is>
      </c>
      <c r="I12" s="6">
        <f>IF(G12="Break","PLANNED","unplanned")</f>
        <v/>
      </c>
      <c r="J12" s="6">
        <f>IF(AND(E12&lt;5,I12="unplanned"),"yes","")</f>
        <v/>
      </c>
    </row>
    <row r="13">
      <c r="A13" s="6" t="n">
        <v>10</v>
      </c>
      <c r="B13" s="7" t="inlineStr">
        <is>
          <t>Big Betti</t>
        </is>
      </c>
      <c r="C13" s="8" t="inlineStr">
        <is>
          <t>13:38</t>
        </is>
      </c>
      <c r="D13" s="8" t="inlineStr">
        <is>
          <t>13:39</t>
        </is>
      </c>
      <c r="E13" s="16">
        <f>(VALUE(LEFT(D13,2))*60+VALUE(MID(D13,4,2)))-(VALUE(LEFT(C13,2))*60+VALUE(MID(C13,4,2)))</f>
        <v/>
      </c>
      <c r="F13" s="17" t="n">
        <v>1</v>
      </c>
      <c r="G13" s="18" t="inlineStr">
        <is>
          <t>Packaging Material Shortage</t>
        </is>
      </c>
      <c r="H13" s="19" t="inlineStr">
        <is>
          <t>No Pallet at Euro-Pack Robot</t>
        </is>
      </c>
      <c r="I13" s="6">
        <f>IF(G13="Break","PLANNED","unplanned")</f>
        <v/>
      </c>
      <c r="J13" s="6">
        <f>IF(AND(E13&lt;5,I13="unplanned"),"yes","")</f>
        <v/>
      </c>
    </row>
    <row r="14">
      <c r="A14" s="6" t="n">
        <v>11</v>
      </c>
      <c r="B14" s="7" t="inlineStr">
        <is>
          <t>Big Betti</t>
        </is>
      </c>
      <c r="C14" s="8" t="inlineStr">
        <is>
          <t>13:40</t>
        </is>
      </c>
      <c r="D14" s="8" t="inlineStr">
        <is>
          <t>13:45</t>
        </is>
      </c>
      <c r="E14" s="16">
        <f>(VALUE(LEFT(D14,2))*60+VALUE(MID(D14,4,2)))-(VALUE(LEFT(C14,2))*60+VALUE(MID(C14,4,2)))</f>
        <v/>
      </c>
      <c r="F14" s="17" t="n">
        <v>5</v>
      </c>
      <c r="G14" s="18" t="inlineStr">
        <is>
          <t>Mechanical</t>
        </is>
      </c>
      <c r="H14" s="19" t="inlineStr">
        <is>
          <t>Rollers Conveyor Cleaning</t>
        </is>
      </c>
      <c r="I14" s="6">
        <f>IF(G14="Break","PLANNED","unplanned")</f>
        <v/>
      </c>
      <c r="J14" s="6">
        <f>IF(AND(E14&lt;5,I14="unplanned"),"yes","")</f>
        <v/>
      </c>
    </row>
    <row r="15">
      <c r="A15" s="6" t="n">
        <v>12</v>
      </c>
      <c r="B15" s="7" t="inlineStr">
        <is>
          <t>Big Betti</t>
        </is>
      </c>
      <c r="C15" s="8" t="inlineStr">
        <is>
          <t>14:10</t>
        </is>
      </c>
      <c r="D15" s="8" t="inlineStr">
        <is>
          <t>14:52</t>
        </is>
      </c>
      <c r="E15" s="16">
        <f>(VALUE(LEFT(D15,2))*60+VALUE(MID(D15,4,2)))-(VALUE(LEFT(C15,2))*60+VALUE(MID(C15,4,2)))</f>
        <v/>
      </c>
      <c r="F15" s="17" t="n">
        <v>42</v>
      </c>
      <c r="G15" s="18" t="inlineStr">
        <is>
          <t>Mechanical</t>
        </is>
      </c>
      <c r="H15" s="19" t="inlineStr">
        <is>
          <t>Open Dulpex - Guide Adjustment</t>
        </is>
      </c>
      <c r="I15" s="6">
        <f>IF(G15="Break","PLANNED","unplanned")</f>
        <v/>
      </c>
      <c r="J15" s="6">
        <f>IF(AND(E15&lt;5,I15="unplanned"),"yes","")</f>
        <v/>
      </c>
    </row>
    <row r="16">
      <c r="A16" s="6" t="n">
        <v>13</v>
      </c>
      <c r="B16" s="7" t="inlineStr">
        <is>
          <t>Big Betti</t>
        </is>
      </c>
      <c r="C16" s="8" t="inlineStr">
        <is>
          <t>14:58</t>
        </is>
      </c>
      <c r="D16" s="8" t="inlineStr">
        <is>
          <t>15:02</t>
        </is>
      </c>
      <c r="E16" s="16">
        <f>(VALUE(LEFT(D16,2))*60+VALUE(MID(D16,4,2)))-(VALUE(LEFT(C16,2))*60+VALUE(MID(C16,4,2)))</f>
        <v/>
      </c>
      <c r="F16" s="17" t="n">
        <v>4</v>
      </c>
      <c r="G16" s="18" t="inlineStr">
        <is>
          <t>Powder Shortage</t>
        </is>
      </c>
      <c r="H16" s="19" t="inlineStr">
        <is>
          <t>No powder</t>
        </is>
      </c>
      <c r="I16" s="6">
        <f>IF(G16="Break","PLANNED","unplanned")</f>
        <v/>
      </c>
      <c r="J16" s="6">
        <f>IF(AND(E16&lt;5,I16="unplanned"),"yes","")</f>
        <v/>
      </c>
    </row>
    <row r="17">
      <c r="A17" s="6" t="n">
        <v>14</v>
      </c>
      <c r="B17" s="7" t="inlineStr">
        <is>
          <t>Big Betti</t>
        </is>
      </c>
      <c r="C17" s="8" t="inlineStr">
        <is>
          <t>15:24</t>
        </is>
      </c>
      <c r="D17" s="8" t="inlineStr">
        <is>
          <t>15:28</t>
        </is>
      </c>
      <c r="E17" s="16">
        <f>(VALUE(LEFT(D17,2))*60+VALUE(MID(D17,4,2)))-(VALUE(LEFT(C17,2))*60+VALUE(MID(C17,4,2)))</f>
        <v/>
      </c>
      <c r="F17" s="17" t="n">
        <v>4</v>
      </c>
      <c r="G17" s="18" t="inlineStr">
        <is>
          <t>Mechanical</t>
        </is>
      </c>
      <c r="H17" s="19" t="inlineStr">
        <is>
          <t>Open Dulpex - Guide Adjustment</t>
        </is>
      </c>
      <c r="I17" s="6">
        <f>IF(G17="Break","PLANNED","unplanned")</f>
        <v/>
      </c>
      <c r="J17" s="6">
        <f>IF(AND(E17&lt;5,I17="unplanned"),"yes","")</f>
        <v/>
      </c>
    </row>
    <row r="19">
      <c r="B19" s="20" t="inlineStr">
        <is>
          <t>Total stoppage</t>
        </is>
      </c>
      <c r="E19" s="21">
        <f>SUM(E4:E17)</f>
        <v/>
      </c>
      <c r="F19" s="22" t="inlineStr">
        <is>
          <t>min</t>
        </is>
      </c>
      <c r="H19" s="4" t="inlineStr">
        <is>
          <t>client's own total = 281 → must match</t>
        </is>
      </c>
    </row>
    <row r="20">
      <c r="B20" s="20" t="inlineStr">
        <is>
          <t>of which PLANNED (break)</t>
        </is>
      </c>
      <c r="E20" s="21">
        <f>SUMIF(I4:I17,"PLANNED",E4:E17)</f>
        <v/>
      </c>
      <c r="F20" s="22" t="inlineStr">
        <is>
          <t>min</t>
        </is>
      </c>
      <c r="H20" s="4" t="inlineStr">
        <is>
          <t>excluded from OEE availability loss (ISO 22400)</t>
        </is>
      </c>
    </row>
    <row r="21">
      <c r="B21" s="20" t="inlineStr">
        <is>
          <t>of which UNPLANNED</t>
        </is>
      </c>
      <c r="E21" s="21">
        <f>SUMIF(I4:I17,"unplanned",E4:E17)</f>
        <v/>
      </c>
      <c r="F21" s="22" t="inlineStr">
        <is>
          <t>min</t>
        </is>
      </c>
      <c r="H21" s="4" t="inlineStr">
        <is>
          <t>the availability loss</t>
        </is>
      </c>
    </row>
    <row r="22">
      <c r="B22" s="20" t="inlineStr">
        <is>
          <t>Unplanned event count</t>
        </is>
      </c>
      <c r="E22" s="21">
        <f>COUNTIF(I4:I17,"unplanned")</f>
        <v/>
      </c>
      <c r="F22" s="22" t="inlineStr">
        <is>
          <t>events</t>
        </is>
      </c>
      <c r="H22" s="4" t="inlineStr">
        <is>
          <t>drives MTBF / MTTR</t>
        </is>
      </c>
    </row>
    <row r="23">
      <c r="B23" s="20" t="inlineStr">
        <is>
          <t>Micro-stops (&lt;5 min) within unplanned</t>
        </is>
      </c>
      <c r="E23" s="21">
        <f>SUMIF(J4:J17,"yes",E4:E17)</f>
        <v/>
      </c>
      <c r="F23" s="22" t="inlineStr">
        <is>
          <t>min</t>
        </is>
      </c>
      <c r="H23" s="4" t="inlineStr">
        <is>
          <t>ISO 22400 classes these as a PERFORMANCE loss, not availability</t>
        </is>
      </c>
    </row>
    <row r="24">
      <c r="B24" s="20" t="inlineStr">
        <is>
          <t>Longest single stop</t>
        </is>
      </c>
      <c r="E24" s="21">
        <f>MAX(E4:E17)</f>
        <v/>
      </c>
      <c r="F24" s="22" t="inlineStr">
        <is>
          <t>min</t>
        </is>
      </c>
      <c r="H24" s="4" t="inlineStr">
        <is>
          <t>stop #1, machine synchronization</t>
        </is>
      </c>
    </row>
    <row r="26">
      <c r="A26" s="15" t="inlineStr">
        <is>
          <t>Every stoppage was logged by the client against machine "Big Betti", but the total is labelled "Betti Production Line" — so these are LINE stoppages: the packing line has no buffers, so a stop anywhere halts filling, cartoning, palletising and wrapping together. The KPIs below therefore treat the line as one unit, which is also how the client's own manual total works.</t>
        </is>
      </c>
    </row>
  </sheetData>
  <mergeCells count="2">
    <mergeCell ref="A1:J1"/>
    <mergeCell ref="A26:J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
    </sheetView>
  </sheetViews>
  <sheetFormatPr baseColWidth="8" defaultRowHeight="15"/>
  <cols>
    <col width="8" customWidth="1" min="1" max="1"/>
    <col width="26" customWidth="1" min="2" max="2"/>
    <col width="26" customWidth="1" min="3" max="3"/>
    <col width="26" customWidth="1" min="4" max="4"/>
    <col width="26" customWidth="1" min="5" max="5"/>
    <col width="4" customWidth="1" min="6" max="6"/>
    <col width="30" customWidth="1" min="7" max="7"/>
    <col width="16" customWidth="1" min="8" max="8"/>
    <col width="14" customWidth="1" min="9" max="9"/>
    <col width="40" customWidth="1" min="10" max="10"/>
  </cols>
  <sheetData>
    <row r="1" ht="30" customHeight="1">
      <c r="A1" s="1" t="inlineStr">
        <is>
          <t>Inputs — Machine Rate Test, 28-07-2026   (client's "Production Rate" file, 5 runs)</t>
        </is>
      </c>
    </row>
    <row r="3" ht="30" customHeight="1">
      <c r="A3" s="5" t="inlineStr">
        <is>
          <t>Run</t>
        </is>
      </c>
      <c r="B3" s="5" t="inlineStr">
        <is>
          <t>M1 Big Betti Filling
(pack / min)</t>
        </is>
      </c>
      <c r="C3" s="5" t="inlineStr">
        <is>
          <t>M3 Cartomac
(carton / min)</t>
        </is>
      </c>
      <c r="D3" s="5" t="inlineStr">
        <is>
          <t>M4 Palletising Robot
(min / pallet)</t>
        </is>
      </c>
      <c r="E3" s="5" t="inlineStr">
        <is>
          <t>M5 Wrapping Machine
(min / pallet)</t>
        </is>
      </c>
      <c r="F3" s="5" t="inlineStr"/>
      <c r="G3" s="5" t="inlineStr">
        <is>
          <t>Derived ideal cycle time</t>
        </is>
      </c>
      <c r="H3" s="5" t="inlineStr">
        <is>
          <t>Value</t>
        </is>
      </c>
      <c r="I3" s="5" t="inlineStr">
        <is>
          <t>Unit</t>
        </is>
      </c>
      <c r="J3" s="5" t="inlineStr">
        <is>
          <t>How it is used</t>
        </is>
      </c>
    </row>
    <row r="4">
      <c r="A4" s="6" t="n">
        <v>1</v>
      </c>
      <c r="B4" s="10" t="n">
        <v>50</v>
      </c>
      <c r="C4" s="10" t="n">
        <v>7</v>
      </c>
      <c r="D4" s="14" t="n">
        <v>3.566666666666666</v>
      </c>
      <c r="E4" s="14" t="n">
        <v>2.1</v>
      </c>
      <c r="G4" s="3" t="inlineStr">
        <is>
          <t>M1 Big Betti — per inner pack</t>
        </is>
      </c>
      <c r="H4" s="23">
        <f>60/'3 · Inputs-Rates'!$B$9</f>
        <v/>
      </c>
      <c r="I4" s="24" t="inlineStr">
        <is>
          <t>sec / pack</t>
        </is>
      </c>
      <c r="J4" s="4" t="inlineStr">
        <is>
          <t>ideal cycle time for the filling step</t>
        </is>
      </c>
    </row>
    <row r="5">
      <c r="A5" s="6" t="n">
        <v>2</v>
      </c>
      <c r="B5" s="10" t="n">
        <v>50</v>
      </c>
      <c r="C5" s="10" t="n">
        <v>9</v>
      </c>
      <c r="D5" s="14" t="n">
        <v>3.966666666666667</v>
      </c>
      <c r="E5" s="14" t="n">
        <v>1.933333333333333</v>
      </c>
      <c r="G5" s="3" t="inlineStr">
        <is>
          <t>M1 Big Betti — per outer carton</t>
        </is>
      </c>
      <c r="H5" s="23">
        <f>'1 · Inputs-Production'!$C$16/'3 · Inputs-Rates'!$B$9</f>
        <v/>
      </c>
      <c r="I5" s="24" t="inlineStr">
        <is>
          <t>min / carton</t>
        </is>
      </c>
      <c r="J5" s="4" t="inlineStr">
        <is>
          <t>6 packs make one carton</t>
        </is>
      </c>
    </row>
    <row r="6">
      <c r="A6" s="6" t="n">
        <v>3</v>
      </c>
      <c r="B6" s="10" t="n">
        <v>50</v>
      </c>
      <c r="C6" s="10" t="n">
        <v>9</v>
      </c>
      <c r="D6" s="14" t="n">
        <v>3.6</v>
      </c>
      <c r="E6" s="14" t="n">
        <v>1.783333333333333</v>
      </c>
      <c r="G6" s="3" t="inlineStr">
        <is>
          <t>M3 Cartomac — per outer carton (best)</t>
        </is>
      </c>
      <c r="H6" s="23">
        <f>60/'3 · Inputs-Rates'!$C$9</f>
        <v/>
      </c>
      <c r="I6" s="24" t="inlineStr">
        <is>
          <t>sec / carton</t>
        </is>
      </c>
      <c r="J6" s="4" t="inlineStr">
        <is>
          <t>ideal cycle time for the cartoning step</t>
        </is>
      </c>
    </row>
    <row r="7">
      <c r="A7" s="6" t="n">
        <v>4</v>
      </c>
      <c r="B7" s="10" t="n">
        <v>50</v>
      </c>
      <c r="C7" s="10" t="n">
        <v>9</v>
      </c>
      <c r="D7" s="14" t="n">
        <v>3.733333333333333</v>
      </c>
      <c r="E7" s="14" t="n">
        <v>1.833333333333333</v>
      </c>
      <c r="G7" s="3" t="inlineStr">
        <is>
          <t>M3 Cartomac — per outer carton (avg)</t>
        </is>
      </c>
      <c r="H7" s="23">
        <f>60/'3 · Inputs-Rates'!$C$10</f>
        <v/>
      </c>
      <c r="I7" s="24" t="inlineStr">
        <is>
          <t>sec / carton</t>
        </is>
      </c>
      <c r="J7" s="4" t="inlineStr">
        <is>
          <t>sensitivity check — scenario B</t>
        </is>
      </c>
    </row>
    <row r="8">
      <c r="A8" s="6" t="n">
        <v>5</v>
      </c>
      <c r="B8" s="10" t="n">
        <v>50</v>
      </c>
      <c r="C8" s="10" t="n">
        <v>9</v>
      </c>
      <c r="D8" s="14" t="n">
        <v>3.816666666666666</v>
      </c>
      <c r="E8" s="14" t="n">
        <v>2.016666666666667</v>
      </c>
      <c r="G8" s="3" t="inlineStr">
        <is>
          <t>M4 Euro-Pack Robot — per pallet</t>
        </is>
      </c>
      <c r="H8" s="23">
        <f>'3 · Inputs-Rates'!$D$9*60</f>
        <v/>
      </c>
      <c r="I8" s="24" t="inlineStr">
        <is>
          <t>sec / pallet</t>
        </is>
      </c>
      <c r="J8" s="4" t="inlineStr">
        <is>
          <t>palletising step</t>
        </is>
      </c>
    </row>
    <row r="9">
      <c r="A9" s="25" t="inlineStr">
        <is>
          <t>Best demonstrated</t>
        </is>
      </c>
      <c r="B9" s="23">
        <f>MAX(B4:B8)</f>
        <v/>
      </c>
      <c r="C9" s="23">
        <f>MAX(C4:C8)</f>
        <v/>
      </c>
      <c r="D9" s="23">
        <f>MIN(D4:D8)</f>
        <v/>
      </c>
      <c r="E9" s="23">
        <f>MIN(E4:E8)</f>
        <v/>
      </c>
      <c r="G9" s="3" t="inlineStr">
        <is>
          <t>M5 Uni-tech Wrapping — per pallet</t>
        </is>
      </c>
      <c r="H9" s="23">
        <f>'3 · Inputs-Rates'!$E$9*60</f>
        <v/>
      </c>
      <c r="I9" s="24" t="inlineStr">
        <is>
          <t>sec / pallet</t>
        </is>
      </c>
      <c r="J9" s="4" t="inlineStr">
        <is>
          <t>wrapping step</t>
        </is>
      </c>
    </row>
    <row r="10">
      <c r="A10" s="25" t="inlineStr">
        <is>
          <t>Average of 5 runs</t>
        </is>
      </c>
      <c r="B10" s="23">
        <f>AVERAGE(B4:B8)</f>
        <v/>
      </c>
      <c r="C10" s="23">
        <f>AVERAGE(C4:C8)</f>
        <v/>
      </c>
      <c r="D10" s="23">
        <f>AVERAGE(D4:D8)</f>
        <v/>
      </c>
      <c r="E10" s="23">
        <f>AVERAGE(E4:E8)</f>
        <v/>
      </c>
      <c r="G10" s="3" t="inlineStr">
        <is>
          <t>BOM planned rate — per outer carton</t>
        </is>
      </c>
      <c r="H10" s="23">
        <f>60/'1 · Inputs-Production'!$C$20</f>
        <v/>
      </c>
      <c r="I10" s="24" t="inlineStr">
        <is>
          <t>min / carton</t>
        </is>
      </c>
      <c r="J10" s="4" t="inlineStr">
        <is>
          <t>the PLANNED rate (325 ctn/h) already in MES360 — scenario D</t>
        </is>
      </c>
    </row>
    <row r="12">
      <c r="A12" s="15" t="inlineStr">
        <is>
          <t>ISO 22400 defines the OEE Performance denominator as the THEORETICAL BEST cycle time, so the headline scenario uses the best of the five runs. The average is carried as a sensitivity check. Note the two different rate concepts: 50 pack/min and 9 ctn/min are MACHINE instantaneous rates, while 325 ctn/h from the BOM is the PLANNED LINE rate that already includes an allowance for stops.</t>
        </is>
      </c>
    </row>
  </sheetData>
  <mergeCells count="2">
    <mergeCell ref="A1:J1"/>
    <mergeCell ref="A12:J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0"/>
  <sheetViews>
    <sheetView showGridLines="0" workbookViewId="0">
      <pane ySplit="3" topLeftCell="A4" activePane="bottomLeft" state="frozen"/>
      <selection pane="bottomLeft" activeCell="A1" sqref="A1"/>
    </sheetView>
  </sheetViews>
  <sheetFormatPr baseColWidth="8" defaultRowHeight="15"/>
  <cols>
    <col width="4" customWidth="1" min="1" max="1"/>
    <col width="46" customWidth="1" min="2" max="2"/>
    <col width="16" customWidth="1" min="3" max="3"/>
    <col width="12" customWidth="1" min="4" max="4"/>
    <col width="62" customWidth="1" min="5" max="5"/>
  </cols>
  <sheetData>
    <row r="1" ht="30" customHeight="1">
      <c r="A1" s="1" t="inlineStr">
        <is>
          <t>Manual KPI Calculation — Line level, output unit = OUTER CARTON</t>
        </is>
      </c>
    </row>
    <row r="3">
      <c r="A3" s="11" t="n"/>
      <c r="B3" s="12" t="inlineStr">
        <is>
          <t>STEP 1 — TIME MODEL</t>
        </is>
      </c>
      <c r="C3" s="11" t="n"/>
      <c r="D3" s="11" t="n"/>
      <c r="E3" s="11" t="n"/>
    </row>
    <row r="4">
      <c r="B4" s="3" t="inlineStr">
        <is>
          <t>Production start</t>
        </is>
      </c>
      <c r="C4" s="21">
        <f>VALUE(LEFT('1 · Inputs-Production'!$C$5,2))*60+VALUE(MID('1 · Inputs-Production'!$C$5,4,2))</f>
        <v/>
      </c>
      <c r="D4" s="24" t="inlineStr">
        <is>
          <t>min</t>
        </is>
      </c>
      <c r="E4" s="4" t="inlineStr">
        <is>
          <t>480 = 08:00 expressed as minutes from midnight (read from Sheet 1)</t>
        </is>
      </c>
    </row>
    <row r="5">
      <c r="B5" s="3" t="inlineStr">
        <is>
          <t>Production end</t>
        </is>
      </c>
      <c r="C5" s="21">
        <f>VALUE(LEFT('1 · Inputs-Production'!$C$6,2))*60+VALUE(MID('1 · Inputs-Production'!$C$6,4,2))</f>
        <v/>
      </c>
      <c r="D5" s="24" t="inlineStr">
        <is>
          <t>min</t>
        </is>
      </c>
      <c r="E5" s="4" t="inlineStr">
        <is>
          <t>990 = 16:30 (read from Sheet 1)</t>
        </is>
      </c>
    </row>
    <row r="6">
      <c r="B6" s="3" t="inlineStr">
        <is>
          <t>Scheduled window  (= end − start)</t>
        </is>
      </c>
      <c r="C6" s="21">
        <f>C5-C4</f>
        <v/>
      </c>
      <c r="D6" s="24" t="inlineStr">
        <is>
          <t>min</t>
        </is>
      </c>
      <c r="E6" s="4" t="inlineStr">
        <is>
          <t>the calendar time the line was manned</t>
        </is>
      </c>
    </row>
    <row r="7">
      <c r="B7" s="3" t="inlineStr">
        <is>
          <t>Planned stops  (lunch break)</t>
        </is>
      </c>
      <c r="C7" s="21">
        <f>'2 · Inputs-Stoppages'!$E$20</f>
        <v/>
      </c>
      <c r="D7" s="24" t="inlineStr">
        <is>
          <t>min</t>
        </is>
      </c>
      <c r="E7" s="4" t="inlineStr">
        <is>
          <t>ISO 22400: removed from the denominator</t>
        </is>
      </c>
    </row>
    <row r="8">
      <c r="B8" s="2" t="inlineStr">
        <is>
          <t>Planned Production Time  PPT  (= window − planned)</t>
        </is>
      </c>
      <c r="C8" s="21">
        <f>C6-C7</f>
        <v/>
      </c>
      <c r="D8" s="24" t="inlineStr">
        <is>
          <t>min</t>
        </is>
      </c>
      <c r="E8" s="4" t="inlineStr">
        <is>
          <t>★ the OEE availability denominator</t>
        </is>
      </c>
    </row>
    <row r="9">
      <c r="B9" s="3" t="inlineStr">
        <is>
          <t>Unplanned downtime</t>
        </is>
      </c>
      <c r="C9" s="21">
        <f>'2 · Inputs-Stoppages'!$E$21</f>
        <v/>
      </c>
      <c r="D9" s="24" t="inlineStr">
        <is>
          <t>min</t>
        </is>
      </c>
      <c r="E9" s="4" t="inlineStr">
        <is>
          <t>the availability loss</t>
        </is>
      </c>
    </row>
    <row r="10">
      <c r="B10" s="2" t="inlineStr">
        <is>
          <t>Run time  (= PPT − unplanned)</t>
        </is>
      </c>
      <c r="C10" s="21">
        <f>C8-C9</f>
        <v/>
      </c>
      <c r="D10" s="24" t="inlineStr">
        <is>
          <t>min</t>
        </is>
      </c>
      <c r="E10" s="4" t="inlineStr">
        <is>
          <t>★ the time the line actually produced</t>
        </is>
      </c>
    </row>
    <row r="12">
      <c r="A12" s="11" t="n"/>
      <c r="B12" s="12" t="inlineStr">
        <is>
          <t>STEP 2 — COUNTS  (in outer cartons, the SKU base unit)</t>
        </is>
      </c>
      <c r="C12" s="11" t="n"/>
      <c r="D12" s="11" t="n"/>
      <c r="E12" s="11" t="n"/>
    </row>
    <row r="13">
      <c r="B13" s="3" t="inlineStr">
        <is>
          <t>Good outer cartons</t>
        </is>
      </c>
      <c r="C13" s="21">
        <f>'1 · Inputs-Production'!$C$8</f>
        <v/>
      </c>
      <c r="D13" s="24" t="inlineStr">
        <is>
          <t>ctn</t>
        </is>
      </c>
      <c r="E13" s="4" t="inlineStr">
        <is>
          <t>as logged</t>
        </is>
      </c>
    </row>
    <row r="14">
      <c r="B14" s="3" t="inlineStr">
        <is>
          <t>Scrap outer cartons</t>
        </is>
      </c>
      <c r="C14" s="21">
        <f>'1 · Inputs-Production'!$C$11</f>
        <v/>
      </c>
      <c r="D14" s="24" t="inlineStr">
        <is>
          <t>ctn</t>
        </is>
      </c>
      <c r="E14" s="4" t="inlineStr">
        <is>
          <t>as logged</t>
        </is>
      </c>
    </row>
    <row r="15">
      <c r="B15" s="2" t="inlineStr">
        <is>
          <t>Total outer cartons  (= good + scrap)</t>
        </is>
      </c>
      <c r="C15" s="21">
        <f>C13+C14</f>
        <v/>
      </c>
      <c r="D15" s="24" t="inlineStr">
        <is>
          <t>ctn</t>
        </is>
      </c>
      <c r="E15" s="4" t="inlineStr">
        <is>
          <t>★ the OEE Performance/Quality numerator base</t>
        </is>
      </c>
    </row>
    <row r="16">
      <c r="B16" s="3" t="inlineStr">
        <is>
          <t>Cross-check: inner ÷ 6</t>
        </is>
      </c>
      <c r="C16" s="26">
        <f>'1 · Inputs-Production'!$C$7/'1 · Inputs-Production'!$C$16</f>
        <v/>
      </c>
      <c r="D16" s="24" t="inlineStr">
        <is>
          <t>ctn</t>
        </is>
      </c>
      <c r="E16" s="4" t="inlineStr">
        <is>
          <t>must equal good outer cartons</t>
        </is>
      </c>
    </row>
    <row r="17">
      <c r="B17" s="3" t="inlineStr">
        <is>
          <t>Good inner packs</t>
        </is>
      </c>
      <c r="C17" s="21">
        <f>'1 · Inputs-Production'!$C$7</f>
        <v/>
      </c>
      <c r="D17" s="24" t="inlineStr">
        <is>
          <t>pack</t>
        </is>
      </c>
      <c r="E17" s="4" t="inlineStr"/>
    </row>
    <row r="18">
      <c r="B18" s="3" t="inlineStr">
        <is>
          <t>Scrap inner packs</t>
        </is>
      </c>
      <c r="C18" s="21">
        <f>'1 · Inputs-Production'!$C$10</f>
        <v/>
      </c>
      <c r="D18" s="24" t="inlineStr">
        <is>
          <t>pack</t>
        </is>
      </c>
      <c r="E18" s="4" t="inlineStr"/>
    </row>
    <row r="19">
      <c r="B19" s="3" t="inlineStr">
        <is>
          <t>Good pallets</t>
        </is>
      </c>
      <c r="C19" s="21">
        <f>'1 · Inputs-Production'!$C$9</f>
        <v/>
      </c>
      <c r="D19" s="24" t="inlineStr">
        <is>
          <t>pallet</t>
        </is>
      </c>
      <c r="E19" s="4" t="inlineStr">
        <is>
          <t>see Sheet 8 — inconsistent with 32 ctn/pallet</t>
        </is>
      </c>
    </row>
    <row r="20">
      <c r="B20" s="3" t="inlineStr">
        <is>
          <t>Powder waste</t>
        </is>
      </c>
      <c r="C20" s="21">
        <f>'1 · Inputs-Production'!$C$12</f>
        <v/>
      </c>
      <c r="D20" s="24" t="inlineStr">
        <is>
          <t>kg</t>
        </is>
      </c>
      <c r="E20" s="4" t="inlineStr">
        <is>
          <t>material loss — NOT a unit reject, see below</t>
        </is>
      </c>
    </row>
    <row r="22">
      <c r="A22" s="11" t="n"/>
      <c r="B22" s="12" t="inlineStr">
        <is>
          <t>STEP 3 — OEE SCENARIOS  (A × P × Q)</t>
        </is>
      </c>
      <c r="C22" s="11" t="n"/>
      <c r="D22" s="11" t="n"/>
      <c r="E22" s="11" t="n"/>
    </row>
    <row r="23">
      <c r="B23" s="3" t="inlineStr">
        <is>
          <t>→ see sheet "4b · OEE Scenarios" for the six scenarios</t>
        </is>
      </c>
    </row>
    <row r="25">
      <c r="A25" s="11" t="n"/>
      <c r="B25" s="12" t="inlineStr">
        <is>
          <t>STEP 4 — SUPPORTING KPIs</t>
        </is>
      </c>
      <c r="C25" s="11" t="n"/>
      <c r="D25" s="11" t="n"/>
      <c r="E25" s="11" t="n"/>
    </row>
    <row r="26">
      <c r="B26" s="3" t="inlineStr">
        <is>
          <t>Availability</t>
        </is>
      </c>
      <c r="C26" s="27">
        <f>'4b · OEE Scenarios'!$G$4</f>
        <v/>
      </c>
      <c r="D26" s="24" t="inlineStr">
        <is>
          <t>%</t>
        </is>
      </c>
      <c r="E26" s="4" t="inlineStr">
        <is>
          <t>run time ÷ PPT — scenario A</t>
        </is>
      </c>
    </row>
    <row r="27">
      <c r="B27" s="3" t="inlineStr">
        <is>
          <t>Performance</t>
        </is>
      </c>
      <c r="C27" s="27">
        <f>'4b · OEE Scenarios'!$H$4</f>
        <v/>
      </c>
      <c r="D27" s="24" t="inlineStr">
        <is>
          <t>%</t>
        </is>
      </c>
      <c r="E27" s="4" t="inlineStr">
        <is>
          <t>ideal run ÷ run time — scenario A</t>
        </is>
      </c>
    </row>
    <row r="28">
      <c r="B28" s="3" t="inlineStr">
        <is>
          <t>Quality</t>
        </is>
      </c>
      <c r="C28" s="27">
        <f>'4b · OEE Scenarios'!$I$4</f>
        <v/>
      </c>
      <c r="D28" s="24" t="inlineStr">
        <is>
          <t>%</t>
        </is>
      </c>
      <c r="E28" s="4" t="inlineStr">
        <is>
          <t>good ÷ total cartons</t>
        </is>
      </c>
    </row>
    <row r="29">
      <c r="B29" s="2" t="inlineStr">
        <is>
          <t>OEE  (schedule-based)</t>
        </is>
      </c>
      <c r="C29" s="28">
        <f>'4b · OEE Scenarios'!$J$4</f>
        <v/>
      </c>
      <c r="D29" s="24" t="inlineStr">
        <is>
          <t>%</t>
        </is>
      </c>
      <c r="E29" s="4" t="inlineStr">
        <is>
          <t>★ A × P × Q — the headline number</t>
        </is>
      </c>
    </row>
    <row r="30">
      <c r="B30" s="3" t="inlineStr">
        <is>
          <t>Availability (time-based, AT-OEE)</t>
        </is>
      </c>
      <c r="C30" s="27">
        <f>('4 · Manual KPI'!$C$6-'2 · Inputs-Stoppages'!$E$21)/'4 · Manual KPI'!$C$6*100</f>
        <v/>
      </c>
      <c r="D30" s="24" t="inlineStr">
        <is>
          <t>%</t>
        </is>
      </c>
      <c r="E30" s="4" t="inlineStr">
        <is>
          <t>uptime ÷ full span — ignores the plan, machine-centric</t>
        </is>
      </c>
    </row>
    <row r="31">
      <c r="B31" s="3" t="inlineStr">
        <is>
          <t>OEE (time-based, AT-OEE)</t>
        </is>
      </c>
      <c r="C31" s="27">
        <f>C30/100*'4b · OEE Scenarios'!$H$4/100*'4b · OEE Scenarios'!$I$4/100*100</f>
        <v/>
      </c>
      <c r="D31" s="24" t="inlineStr">
        <is>
          <t>%</t>
        </is>
      </c>
      <c r="E31" s="4" t="inlineStr">
        <is>
          <t>the AT-OEE variant the platform reports alongside</t>
        </is>
      </c>
    </row>
    <row r="32">
      <c r="B32" s="3" t="inlineStr">
        <is>
          <t>First-Pass Yield (carton)</t>
        </is>
      </c>
      <c r="C32" s="27">
        <f>'4 · Manual KPI'!$C$13/'4 · Manual KPI'!$C$15*100</f>
        <v/>
      </c>
      <c r="D32" s="24" t="inlineStr">
        <is>
          <t>%</t>
        </is>
      </c>
      <c r="E32" s="4" t="inlineStr">
        <is>
          <t>same as Quality here — one pass, no rework</t>
        </is>
      </c>
    </row>
    <row r="33">
      <c r="B33" s="3" t="inlineStr">
        <is>
          <t>Scrap rate (carton)</t>
        </is>
      </c>
      <c r="C33" s="27">
        <f>'4 · Manual KPI'!$C$14/'4 · Manual KPI'!$C$15*100</f>
        <v/>
      </c>
      <c r="D33" s="24" t="inlineStr">
        <is>
          <t>%</t>
        </is>
      </c>
      <c r="E33" s="4" t="inlineStr"/>
    </row>
    <row r="34">
      <c r="B34" s="3" t="inlineStr">
        <is>
          <t>Scrap rate (inner pack)</t>
        </is>
      </c>
      <c r="C34" s="27">
        <f>'1 · Inputs-Production'!$C$10/('1 · Inputs-Production'!$C$7+'1 · Inputs-Production'!$C$10)*100</f>
        <v/>
      </c>
      <c r="D34" s="24" t="inlineStr">
        <is>
          <t>%</t>
        </is>
      </c>
      <c r="E34" s="4" t="inlineStr">
        <is>
          <t>the filling step rejects more units than the cartoning step</t>
        </is>
      </c>
    </row>
    <row r="35" ht="28" customHeight="1">
      <c r="B35" s="3" t="inlineStr">
        <is>
          <t>Material yield (powder)</t>
        </is>
      </c>
      <c r="C35" s="27">
        <f>'4 · Manual KPI'!$C$13*'1 · Inputs-Production'!$C$18/('4 · Manual KPI'!$C$13*'1 · Inputs-Production'!$C$18+'1 · Inputs-Production'!$C$12)*100</f>
        <v/>
      </c>
      <c r="D35" s="24" t="inlineStr">
        <is>
          <t>%</t>
        </is>
      </c>
      <c r="E35" s="4" t="inlineStr">
        <is>
          <t>powder into good product ÷ powder issued. A MATERIAL KPI — deliberately NOT folded into OEE Quality, which is unit-based.</t>
        </is>
      </c>
    </row>
    <row r="36">
      <c r="B36" s="3" t="inlineStr">
        <is>
          <t>Throughput while running</t>
        </is>
      </c>
      <c r="C36" s="21">
        <f>'4 · Manual KPI'!$C$13/'4 · Manual KPI'!$C$10*60</f>
        <v/>
      </c>
      <c r="D36" s="24" t="inlineStr">
        <is>
          <t>ctn / h</t>
        </is>
      </c>
      <c r="E36" s="4" t="inlineStr">
        <is>
          <t>the line's real demonstrated output rate</t>
        </is>
      </c>
    </row>
    <row r="37">
      <c r="B37" s="3" t="inlineStr">
        <is>
          <t>Throughput over the full span</t>
        </is>
      </c>
      <c r="C37" s="21">
        <f>'4 · Manual KPI'!$C$13/'4 · Manual KPI'!$C$6*60</f>
        <v/>
      </c>
      <c r="D37" s="24" t="inlineStr">
        <is>
          <t>ctn / h</t>
        </is>
      </c>
      <c r="E37" s="4" t="inlineStr">
        <is>
          <t>what the plant actually delivered per manned hour</t>
        </is>
      </c>
    </row>
    <row r="38">
      <c r="B38" s="3" t="inlineStr">
        <is>
          <t>Attainment vs BOM target</t>
        </is>
      </c>
      <c r="C38" s="27">
        <f>'4 · Manual KPI'!$C$13/'4 · Manual KPI'!$C$6*60/'1 · Inputs-Production'!$C$20*100</f>
        <v/>
      </c>
      <c r="D38" s="24" t="inlineStr">
        <is>
          <t>%</t>
        </is>
      </c>
      <c r="E38" s="4" t="inlineStr">
        <is>
          <t>against the 325 ctn/h planned rate</t>
        </is>
      </c>
    </row>
    <row r="39">
      <c r="B39" s="3" t="inlineStr">
        <is>
          <t>MTBF — mean run time between stops</t>
        </is>
      </c>
      <c r="C39" s="26">
        <f>'4 · Manual KPI'!$C$10/'2 · Inputs-Stoppages'!$E$22</f>
        <v/>
      </c>
      <c r="D39" s="24" t="inlineStr">
        <is>
          <t>min</t>
        </is>
      </c>
      <c r="E39" s="4" t="inlineStr">
        <is>
          <t>run time ÷ unplanned stop count</t>
        </is>
      </c>
    </row>
    <row r="40">
      <c r="B40" s="3" t="inlineStr">
        <is>
          <t>MTTR — mean stop duration</t>
        </is>
      </c>
      <c r="C40" s="26">
        <f>'2 · Inputs-Stoppages'!$E$21/'2 · Inputs-Stoppages'!$E$22</f>
        <v/>
      </c>
      <c r="D40" s="24" t="inlineStr">
        <is>
          <t>min</t>
        </is>
      </c>
      <c r="E40" s="4" t="inlineStr">
        <is>
          <t>unplanned minutes ÷ unplanned stop count</t>
        </is>
      </c>
    </row>
    <row r="41" ht="28" customHeight="1">
      <c r="B41" s="3" t="inlineStr">
        <is>
          <t>Micro-stop minutes (&lt;5 min)</t>
        </is>
      </c>
      <c r="C41" s="21">
        <f>'2 · Inputs-Stoppages'!$E$23</f>
        <v/>
      </c>
      <c r="D41" s="24" t="inlineStr">
        <is>
          <t>min</t>
        </is>
      </c>
      <c r="E41" s="4" t="inlineStr">
        <is>
          <t>ISO 22400 classes these as a performance loss; the client logged them as downtime</t>
        </is>
      </c>
    </row>
    <row r="43">
      <c r="A43" s="11" t="n"/>
      <c r="B43" s="12" t="inlineStr">
        <is>
          <t>STEP 5 — SIX BIG LOSSES  (against PPT)</t>
        </is>
      </c>
      <c r="C43" s="11" t="n"/>
      <c r="D43" s="11" t="n"/>
      <c r="E43" s="11" t="n"/>
    </row>
    <row r="44">
      <c r="B44" s="29" t="inlineStr">
        <is>
          <t>Loss bucket</t>
        </is>
      </c>
      <c r="C44" s="29" t="inlineStr">
        <is>
          <t>Minutes</t>
        </is>
      </c>
      <c r="D44" s="29" t="inlineStr">
        <is>
          <t>% of PPT</t>
        </is>
      </c>
    </row>
    <row r="45">
      <c r="B45" s="3" t="inlineStr">
        <is>
          <t>Availability loss — unplanned downtime</t>
        </is>
      </c>
      <c r="C45" s="30">
        <f>'2 · Inputs-Stoppages'!$E$21</f>
        <v/>
      </c>
      <c r="D45" s="31">
        <f>'2 · Inputs-Stoppages'!$E$21/'4 · Manual KPI'!$C$8*100</f>
        <v/>
      </c>
    </row>
    <row r="46">
      <c r="B46" s="3" t="inlineStr">
        <is>
          <t>Performance loss — speed &amp; micro-stops</t>
        </is>
      </c>
      <c r="C46" s="30">
        <f>'4 · Manual KPI'!$C$10-'4b · OEE Scenarios'!$F$4</f>
        <v/>
      </c>
      <c r="D46" s="31">
        <f>('4 · Manual KPI'!$C$10-'4b · OEE Scenarios'!$F$4)/'4 · Manual KPI'!$C$8*100</f>
        <v/>
      </c>
    </row>
    <row r="47">
      <c r="B47" s="3" t="inlineStr">
        <is>
          <t>Quality loss — scrap</t>
        </is>
      </c>
      <c r="C47" s="30">
        <f>(60/'3 · Inputs-Rates'!$C$9/60)*'4 · Manual KPI'!$C$14</f>
        <v/>
      </c>
      <c r="D47" s="31">
        <f>(60/'3 · Inputs-Rates'!$C$9/60)*'4 · Manual KPI'!$C$14/'4 · Manual KPI'!$C$8*100</f>
        <v/>
      </c>
    </row>
    <row r="48">
      <c r="B48" s="2" t="inlineStr">
        <is>
          <t>Fully productive time</t>
        </is>
      </c>
      <c r="C48" s="32">
        <f>'4b · OEE Scenarios'!$F$4-(60/'3 · Inputs-Rates'!$C$9/60)*'4 · Manual KPI'!$C$14</f>
        <v/>
      </c>
      <c r="D48" s="33">
        <f>('4b · OEE Scenarios'!$F$4-(60/'3 · Inputs-Rates'!$C$9/60)*'4 · Manual KPI'!$C$14)/'4 · Manual KPI'!$C$8*100</f>
        <v/>
      </c>
    </row>
    <row r="50">
      <c r="A50" s="15" t="inlineStr">
        <is>
          <t>The four buckets sum to PPT (480 min) by construction — this is the OEE waterfall.</t>
        </is>
      </c>
    </row>
  </sheetData>
  <mergeCells count="2">
    <mergeCell ref="A50:E50"/>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showGridLines="0" workbookViewId="0">
      <pane ySplit="3" topLeftCell="A4" activePane="bottomLeft" state="frozen"/>
      <selection pane="bottomLeft" activeCell="A1" sqref="A1"/>
    </sheetView>
  </sheetViews>
  <sheetFormatPr baseColWidth="8" defaultRowHeight="15"/>
  <cols>
    <col width="5" customWidth="1" min="1" max="1"/>
    <col width="52" customWidth="1" min="2" max="2"/>
    <col width="13" customWidth="1" min="3" max="3"/>
    <col width="13" customWidth="1" min="4" max="4"/>
    <col width="13" customWidth="1" min="5" max="5"/>
    <col width="14" customWidth="1" min="6" max="6"/>
    <col width="11" customWidth="1" min="7" max="7"/>
    <col width="11" customWidth="1" min="8" max="8"/>
    <col width="11" customWidth="1" min="9" max="9"/>
    <col width="11" customWidth="1" min="10" max="10"/>
    <col width="44" customWidth="1" min="11" max="11"/>
  </cols>
  <sheetData>
    <row r="1" ht="30" customHeight="1">
      <c r="A1" s="1" t="inlineStr">
        <is>
          <t>OEE Scenarios — same time model, different ideal-cycle-time assumption</t>
        </is>
      </c>
    </row>
    <row r="3" ht="30" customHeight="1">
      <c r="A3" s="5" t="inlineStr">
        <is>
          <t>#</t>
        </is>
      </c>
      <c r="B3" s="5" t="inlineStr">
        <is>
          <t>Scenario</t>
        </is>
      </c>
      <c r="C3" s="5" t="inlineStr">
        <is>
          <t>PPT
(min)</t>
        </is>
      </c>
      <c r="D3" s="5" t="inlineStr">
        <is>
          <t>Unplanned
(min)</t>
        </is>
      </c>
      <c r="E3" s="5" t="inlineStr">
        <is>
          <t>Run time
(min)</t>
        </is>
      </c>
      <c r="F3" s="5" t="inlineStr">
        <is>
          <t>Ideal run
(min)</t>
        </is>
      </c>
      <c r="G3" s="5" t="inlineStr">
        <is>
          <t>A</t>
        </is>
      </c>
      <c r="H3" s="5" t="inlineStr">
        <is>
          <t>P</t>
        </is>
      </c>
      <c r="I3" s="5" t="inlineStr">
        <is>
          <t>Q</t>
        </is>
      </c>
      <c r="J3" s="5" t="inlineStr">
        <is>
          <t>OEE</t>
        </is>
      </c>
      <c r="K3" s="5" t="inlineStr">
        <is>
          <t>What the assumption means</t>
        </is>
      </c>
    </row>
    <row r="4" ht="32" customHeight="1">
      <c r="A4" s="34" t="inlineStr">
        <is>
          <t>A</t>
        </is>
      </c>
      <c r="B4" s="35" t="inlineStr">
        <is>
          <t>ISO 22400 · ideal = Cartomac best demonstrated (9 ctn/min)</t>
        </is>
      </c>
      <c r="C4" s="36">
        <f>'4 · Manual KPI'!$C$8</f>
        <v/>
      </c>
      <c r="D4" s="36">
        <f>'2 · Inputs-Stoppages'!$E$21</f>
        <v/>
      </c>
      <c r="E4" s="36">
        <f>C4-D4</f>
        <v/>
      </c>
      <c r="F4" s="37">
        <f>(1/'3 · Inputs-Rates'!$C$9)*'4 · Manual KPI'!$C$15</f>
        <v/>
      </c>
      <c r="G4" s="38">
        <f>E4/C4*100</f>
        <v/>
      </c>
      <c r="H4" s="38">
        <f>MIN(F4/E4*100,100)</f>
        <v/>
      </c>
      <c r="I4" s="38">
        <f>'4 · Manual KPI'!$C$13/'4 · Manual KPI'!$C$15*100</f>
        <v/>
      </c>
      <c r="J4" s="39">
        <f>G4/100*H4/100*I4/100*100</f>
        <v/>
      </c>
      <c r="K4" s="9" t="inlineStr">
        <is>
          <t>Headline. Theoretical best from the client's own rate test.</t>
        </is>
      </c>
    </row>
    <row r="5" ht="32" customHeight="1">
      <c r="A5" s="34" t="inlineStr">
        <is>
          <t>B</t>
        </is>
      </c>
      <c r="B5" s="19" t="inlineStr">
        <is>
          <t>ISO 22400 · ideal = Cartomac 5-run average (8.6 ctn/min)</t>
        </is>
      </c>
      <c r="C5" s="36">
        <f>'4 · Manual KPI'!$C$8</f>
        <v/>
      </c>
      <c r="D5" s="36">
        <f>'2 · Inputs-Stoppages'!$E$21</f>
        <v/>
      </c>
      <c r="E5" s="36">
        <f>C5-D5</f>
        <v/>
      </c>
      <c r="F5" s="37">
        <f>(1/'3 · Inputs-Rates'!$C$10)*'4 · Manual KPI'!$C$15</f>
        <v/>
      </c>
      <c r="G5" s="38">
        <f>E5/C5*100</f>
        <v/>
      </c>
      <c r="H5" s="38">
        <f>MIN(F5/E5*100,100)</f>
        <v/>
      </c>
      <c r="I5" s="38">
        <f>'4 · Manual KPI'!$C$13/'4 · Manual KPI'!$C$15*100</f>
        <v/>
      </c>
      <c r="J5" s="40">
        <f>G5/100*H5/100*I5/100*100</f>
        <v/>
      </c>
      <c r="K5" s="9" t="inlineStr">
        <is>
          <t>Sensitivity — how much the answer moves on rate choice.</t>
        </is>
      </c>
    </row>
    <row r="6" ht="32" customHeight="1">
      <c r="A6" s="34" t="inlineStr">
        <is>
          <t>C</t>
        </is>
      </c>
      <c r="B6" s="19" t="inlineStr">
        <is>
          <t>ISO 22400 · ideal = Big Betti 50 pack/min (= 8.33 ctn/min)</t>
        </is>
      </c>
      <c r="C6" s="36">
        <f>'4 · Manual KPI'!$C$8</f>
        <v/>
      </c>
      <c r="D6" s="36">
        <f>'2 · Inputs-Stoppages'!$E$21</f>
        <v/>
      </c>
      <c r="E6" s="36">
        <f>C6-D6</f>
        <v/>
      </c>
      <c r="F6" s="37">
        <f>('1 · Inputs-Production'!$C$16/'3 · Inputs-Rates'!$B$9)*'4 · Manual KPI'!$C$15</f>
        <v/>
      </c>
      <c r="G6" s="38">
        <f>E6/C6*100</f>
        <v/>
      </c>
      <c r="H6" s="38">
        <f>MIN(F6/E6*100,100)</f>
        <v/>
      </c>
      <c r="I6" s="38">
        <f>'4 · Manual KPI'!$C$13/'4 · Manual KPI'!$C$15*100</f>
        <v/>
      </c>
      <c r="J6" s="40">
        <f>G6/100*H6/100*I6/100*100</f>
        <v/>
      </c>
      <c r="K6" s="9" t="inlineStr">
        <is>
          <t>Filling machine as the pacing constraint instead of cartoning.</t>
        </is>
      </c>
    </row>
    <row r="7" ht="32" customHeight="1">
      <c r="A7" s="34" t="inlineStr">
        <is>
          <t>D</t>
        </is>
      </c>
      <c r="B7" s="19" t="inlineStr">
        <is>
          <t>ISO 22400 · ideal = BOM planned target 325 ctn/h (5.42 ctn/min)</t>
        </is>
      </c>
      <c r="C7" s="36">
        <f>'4 · Manual KPI'!$C$8</f>
        <v/>
      </c>
      <c r="D7" s="36">
        <f>'2 · Inputs-Stoppages'!$E$21</f>
        <v/>
      </c>
      <c r="E7" s="36">
        <f>C7-D7</f>
        <v/>
      </c>
      <c r="F7" s="37">
        <f>(60/'1 · Inputs-Production'!$C$20)*'4 · Manual KPI'!$C$15</f>
        <v/>
      </c>
      <c r="G7" s="38">
        <f>E7/C7*100</f>
        <v/>
      </c>
      <c r="H7" s="38">
        <f>MIN(F7/E7*100,100)</f>
        <v/>
      </c>
      <c r="I7" s="38">
        <f>'4 · Manual KPI'!$C$13/'4 · Manual KPI'!$C$15*100</f>
        <v/>
      </c>
      <c r="J7" s="40">
        <f>G7/100*H7/100*I7/100*100</f>
        <v/>
      </c>
      <c r="K7" s="9" t="inlineStr">
        <is>
          <t>The rate already loaded in MES360. It is a PLANNED rate, so it flatters Performance — not an ISO ideal cycle time.</t>
        </is>
      </c>
    </row>
    <row r="8" ht="32" customHeight="1">
      <c r="A8" s="34" t="inlineStr">
        <is>
          <t>E</t>
        </is>
      </c>
      <c r="B8" s="19" t="inlineStr">
        <is>
          <t>MES360 as-built · PPT = full 510 min span · ideal = 9 ctn/min</t>
        </is>
      </c>
      <c r="C8" s="36">
        <f>'4 · Manual KPI'!$C$6</f>
        <v/>
      </c>
      <c r="D8" s="36">
        <f>'2 · Inputs-Stoppages'!$E$21</f>
        <v/>
      </c>
      <c r="E8" s="36">
        <f>C8-D8</f>
        <v/>
      </c>
      <c r="F8" s="37">
        <f>(1/'3 · Inputs-Rates'!$C$9)*'4 · Manual KPI'!$C$15</f>
        <v/>
      </c>
      <c r="G8" s="38">
        <f>E8/C8*100</f>
        <v/>
      </c>
      <c r="H8" s="38">
        <f>MIN(F8/E8*100,100)</f>
        <v/>
      </c>
      <c r="I8" s="38">
        <f>'4 · Manual KPI'!$C$13/'4 · Manual KPI'!$C$15*100</f>
        <v/>
      </c>
      <c r="J8" s="41">
        <f>G8/100*H8/100*I8/100*100</f>
        <v/>
      </c>
      <c r="K8" s="9" t="inlineStr">
        <is>
          <t>★ What the system currently computes: kpi.service.joPpt/woChild does NOT remove the planned break from PPT.</t>
        </is>
      </c>
    </row>
    <row r="9" ht="32" customHeight="1">
      <c r="A9" s="34" t="inlineStr">
        <is>
          <t>F</t>
        </is>
      </c>
      <c r="B9" s="19" t="inlineStr">
        <is>
          <t>MES360 as-built · PPT = full 510 min span · ideal = 325 ctn/h</t>
        </is>
      </c>
      <c r="C9" s="36">
        <f>'4 · Manual KPI'!$C$6</f>
        <v/>
      </c>
      <c r="D9" s="36">
        <f>'2 · Inputs-Stoppages'!$E$21</f>
        <v/>
      </c>
      <c r="E9" s="36">
        <f>C9-D9</f>
        <v/>
      </c>
      <c r="F9" s="37">
        <f>(60/'1 · Inputs-Production'!$C$20)*'4 · Manual KPI'!$C$15</f>
        <v/>
      </c>
      <c r="G9" s="38">
        <f>E9/C9*100</f>
        <v/>
      </c>
      <c r="H9" s="38">
        <f>MIN(F9/E9*100,100)</f>
        <v/>
      </c>
      <c r="I9" s="38">
        <f>'4 · Manual KPI'!$C$13/'4 · Manual KPI'!$C$15*100</f>
        <v/>
      </c>
      <c r="J9" s="41">
        <f>G9/100*H9/100*I9/100*100</f>
        <v/>
      </c>
      <c r="K9" s="9" t="inlineStr">
        <is>
          <t>★ What the system computes TODAY, before the cycle-time fix.</t>
        </is>
      </c>
    </row>
    <row r="11">
      <c r="A11" s="15" t="inlineStr">
        <is>
          <t>Scenario A is the reference the system is graded against. The gap between A and E is caused by the planned-break handling; the gap between A and F additionally includes the wrong cycle time currently loaded in MachineCycleTime. Both are itemised in Sheet 7.</t>
        </is>
      </c>
    </row>
  </sheetData>
  <mergeCells count="2">
    <mergeCell ref="A11:K1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showGridLines="0" workbookViewId="0">
      <pane ySplit="3" topLeftCell="A4" activePane="bottomLeft" state="frozen"/>
      <selection pane="bottomLeft" activeCell="A1" sqref="A1"/>
    </sheetView>
  </sheetViews>
  <sheetFormatPr baseColWidth="8" defaultRowHeight="15"/>
  <cols>
    <col width="7" customWidth="1" min="1" max="1"/>
    <col width="24" customWidth="1" min="2" max="2"/>
    <col width="20" customWidth="1" min="3" max="3"/>
    <col width="14" customWidth="1" min="4" max="4"/>
    <col width="10" customWidth="1" min="5" max="5"/>
    <col width="12" customWidth="1" min="6" max="6"/>
    <col width="12" customWidth="1" min="7" max="7"/>
    <col width="13" customWidth="1" min="8" max="8"/>
    <col width="10" customWidth="1" min="9" max="9"/>
    <col width="10" customWidth="1" min="10" max="10"/>
    <col width="10" customWidth="1" min="11" max="11"/>
    <col width="10" customWidth="1" min="12" max="12"/>
    <col width="46" customWidth="1" min="13" max="13"/>
  </cols>
  <sheetData>
    <row r="1" ht="30" customHeight="1">
      <c r="A1" s="1" t="inlineStr">
        <is>
          <t>Per-Machine KPI — every machine sees the same line stoppage window</t>
        </is>
      </c>
    </row>
    <row r="3" ht="30" customHeight="1">
      <c r="A3" s="5" t="inlineStr">
        <is>
          <t>Code</t>
        </is>
      </c>
      <c r="B3" s="5" t="inlineStr">
        <is>
          <t>Machine</t>
        </is>
      </c>
      <c r="C3" s="5" t="inlineStr">
        <is>
          <t>Step</t>
        </is>
      </c>
      <c r="D3" s="5" t="inlineStr">
        <is>
          <t>Output unit</t>
        </is>
      </c>
      <c r="E3" s="5" t="inlineStr">
        <is>
          <t>Good</t>
        </is>
      </c>
      <c r="F3" s="5" t="inlineStr">
        <is>
          <t>Scrap</t>
        </is>
      </c>
      <c r="G3" s="5" t="inlineStr">
        <is>
          <t>Total</t>
        </is>
      </c>
      <c r="H3" s="5" t="inlineStr">
        <is>
          <t>Ideal cycle
(sec/unit)</t>
        </is>
      </c>
      <c r="I3" s="5" t="inlineStr">
        <is>
          <t>A</t>
        </is>
      </c>
      <c r="J3" s="5" t="inlineStr">
        <is>
          <t>P</t>
        </is>
      </c>
      <c r="K3" s="5" t="inlineStr">
        <is>
          <t>Q</t>
        </is>
      </c>
      <c r="L3" s="5" t="inlineStr">
        <is>
          <t>OEE</t>
        </is>
      </c>
      <c r="M3" s="5" t="inlineStr">
        <is>
          <t>Reading</t>
        </is>
      </c>
    </row>
    <row r="4" ht="32" customHeight="1">
      <c r="A4" s="34" t="inlineStr">
        <is>
          <t>M1</t>
        </is>
      </c>
      <c r="B4" s="7" t="inlineStr">
        <is>
          <t>Big Betti</t>
        </is>
      </c>
      <c r="C4" s="7" t="inlineStr">
        <is>
          <t>Filling</t>
        </is>
      </c>
      <c r="D4" s="6" t="inlineStr">
        <is>
          <t>INNER</t>
        </is>
      </c>
      <c r="E4" s="36">
        <f>'1 · Inputs-Production'!$C$7</f>
        <v/>
      </c>
      <c r="F4" s="36">
        <f>'1 · Inputs-Production'!$C$10</f>
        <v/>
      </c>
      <c r="G4" s="36">
        <f>E4+F4</f>
        <v/>
      </c>
      <c r="H4" s="42">
        <f>60/'3 · Inputs-Rates'!$B$9</f>
        <v/>
      </c>
      <c r="I4" s="38">
        <f>'4 · Manual KPI'!$C$10/'4 · Manual KPI'!$C$8*100</f>
        <v/>
      </c>
      <c r="J4" s="38">
        <f>MIN(H4/60*G4/'4 · Manual KPI'!$C$10*100,100)</f>
        <v/>
      </c>
      <c r="K4" s="38">
        <f>IF(G4=0,0,E4/G4*100)</f>
        <v/>
      </c>
      <c r="L4" s="39">
        <f>I4/100*J4/100*K4/100*100</f>
        <v/>
      </c>
      <c r="M4" s="9" t="inlineStr">
        <is>
          <t>The line's pacing constraint. Its P is the honest speed-loss signal.</t>
        </is>
      </c>
    </row>
    <row r="5" ht="32" customHeight="1">
      <c r="A5" s="34" t="inlineStr">
        <is>
          <t>M3</t>
        </is>
      </c>
      <c r="B5" s="7" t="inlineStr">
        <is>
          <t>Cartomac</t>
        </is>
      </c>
      <c r="C5" s="7" t="inlineStr">
        <is>
          <t>Cartoning</t>
        </is>
      </c>
      <c r="D5" s="6" t="inlineStr">
        <is>
          <t>CARTON</t>
        </is>
      </c>
      <c r="E5" s="36">
        <f>'1 · Inputs-Production'!$C$8</f>
        <v/>
      </c>
      <c r="F5" s="36">
        <f>'1 · Inputs-Production'!$C$11</f>
        <v/>
      </c>
      <c r="G5" s="36">
        <f>E5+F5</f>
        <v/>
      </c>
      <c r="H5" s="42">
        <f>60/'3 · Inputs-Rates'!$C$9</f>
        <v/>
      </c>
      <c r="I5" s="38">
        <f>'4 · Manual KPI'!$C$10/'4 · Manual KPI'!$C$8*100</f>
        <v/>
      </c>
      <c r="J5" s="38">
        <f>MIN(H5/60*G5/'4 · Manual KPI'!$C$10*100,100)</f>
        <v/>
      </c>
      <c r="K5" s="38">
        <f>IF(G5=0,0,E5/G5*100)</f>
        <v/>
      </c>
      <c r="L5" s="40">
        <f>I5/100*J5/100*K5/100*100</f>
        <v/>
      </c>
      <c r="M5" s="9" t="inlineStr">
        <is>
          <t>Matches the line calculation, since carton is the SKU base unit.</t>
        </is>
      </c>
    </row>
    <row r="6" ht="32" customHeight="1">
      <c r="A6" s="34" t="inlineStr">
        <is>
          <t>M4</t>
        </is>
      </c>
      <c r="B6" s="7" t="inlineStr">
        <is>
          <t>Euro-Pack Robot</t>
        </is>
      </c>
      <c r="C6" s="7" t="inlineStr">
        <is>
          <t>Palletising</t>
        </is>
      </c>
      <c r="D6" s="6" t="inlineStr">
        <is>
          <t>PALLET</t>
        </is>
      </c>
      <c r="E6" s="36">
        <f>'1 · Inputs-Production'!$C$9</f>
        <v/>
      </c>
      <c r="F6" s="36">
        <f>0</f>
        <v/>
      </c>
      <c r="G6" s="36">
        <f>E6+F6</f>
        <v/>
      </c>
      <c r="H6" s="42">
        <f>'3 · Inputs-Rates'!$D$9*60</f>
        <v/>
      </c>
      <c r="I6" s="38">
        <f>'4 · Manual KPI'!$C$10/'4 · Manual KPI'!$C$8*100</f>
        <v/>
      </c>
      <c r="J6" s="38">
        <f>MIN(H6/60*G6/'4 · Manual KPI'!$C$10*100,100)</f>
        <v/>
      </c>
      <c r="K6" s="38">
        <f>IF(G6=0,0,E6/G6*100)</f>
        <v/>
      </c>
      <c r="L6" s="40">
        <f>I6/100*J6/100*K6/100*100</f>
        <v/>
      </c>
      <c r="M6" s="9" t="inlineStr">
        <is>
          <t>Low P is expected — the robot is not the constraint and idles between pallets. Do NOT read this as a robot problem.</t>
        </is>
      </c>
    </row>
    <row r="7" ht="32" customHeight="1">
      <c r="A7" s="34" t="inlineStr">
        <is>
          <t>M5</t>
        </is>
      </c>
      <c r="B7" s="7" t="inlineStr">
        <is>
          <t>Uni-tech Wrapping</t>
        </is>
      </c>
      <c r="C7" s="7" t="inlineStr">
        <is>
          <t>Wrapping</t>
        </is>
      </c>
      <c r="D7" s="6" t="inlineStr">
        <is>
          <t>PALLET</t>
        </is>
      </c>
      <c r="E7" s="36">
        <f>'1 · Inputs-Production'!$C$9</f>
        <v/>
      </c>
      <c r="F7" s="36">
        <f>0</f>
        <v/>
      </c>
      <c r="G7" s="36">
        <f>E7+F7</f>
        <v/>
      </c>
      <c r="H7" s="42">
        <f>'3 · Inputs-Rates'!$E$9*60</f>
        <v/>
      </c>
      <c r="I7" s="38">
        <f>'4 · Manual KPI'!$C$10/'4 · Manual KPI'!$C$8*100</f>
        <v/>
      </c>
      <c r="J7" s="38">
        <f>MIN(H7/60*G7/'4 · Manual KPI'!$C$10*100,100)</f>
        <v/>
      </c>
      <c r="K7" s="38">
        <f>IF(G7=0,0,E7/G7*100)</f>
        <v/>
      </c>
      <c r="L7" s="40">
        <f>I7/100*J7/100*K7/100*100</f>
        <v/>
      </c>
      <c r="M7" s="9" t="inlineStr">
        <is>
          <t>Same caveat as M4, more so — the wrapper is the least loaded machine on the line.</t>
        </is>
      </c>
    </row>
    <row r="9">
      <c r="A9" s="15" t="inlineStr">
        <is>
          <t>Availability is identical for all four machines because the line has no buffers — the client's own log records one stoppage stream for the whole line. Performance differs only because each machine has its own ideal cycle time and output unit. The LINE OEE is the M3/Cartomac row, because the outer carton is the SKU base unit and therefore the unit the WO is measured in.</t>
        </is>
      </c>
    </row>
  </sheetData>
  <mergeCells count="2">
    <mergeCell ref="A1:M1"/>
    <mergeCell ref="A9:M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showGridLines="0" workbookViewId="0">
      <pane ySplit="3" topLeftCell="A4" activePane="bottomLeft" state="frozen"/>
      <selection pane="bottomLeft" activeCell="A1" sqref="A1"/>
    </sheetView>
  </sheetViews>
  <sheetFormatPr baseColWidth="8" defaultRowHeight="15"/>
  <cols>
    <col width="5" customWidth="1" min="1" max="1"/>
    <col width="34" customWidth="1" min="2" max="2"/>
    <col width="12" customWidth="1" min="3" max="3"/>
    <col width="11" customWidth="1" min="4" max="4"/>
    <col width="15" customWidth="1" min="5" max="5"/>
    <col width="15" customWidth="1" min="6" max="6"/>
    <col width="15" customWidth="1" min="7" max="7"/>
    <col width="48" customWidth="1" min="8" max="8"/>
  </cols>
  <sheetData>
    <row r="1" ht="30" customHeight="1">
      <c r="A1" s="1" t="inlineStr">
        <is>
          <t>Downtime Pareto — where the 251 unplanned minutes went</t>
        </is>
      </c>
    </row>
    <row r="3" ht="30" customHeight="1">
      <c r="A3" s="5" t="inlineStr">
        <is>
          <t>#</t>
        </is>
      </c>
      <c r="B3" s="5" t="inlineStr">
        <is>
          <t>Category (as logged by client)</t>
        </is>
      </c>
      <c r="C3" s="5" t="inlineStr">
        <is>
          <t>Minutes</t>
        </is>
      </c>
      <c r="D3" s="5" t="inlineStr">
        <is>
          <t>Events</t>
        </is>
      </c>
      <c r="E3" s="5" t="inlineStr">
        <is>
          <t>% of unplanned</t>
        </is>
      </c>
      <c r="F3" s="5" t="inlineStr">
        <is>
          <t>% of PPT</t>
        </is>
      </c>
      <c r="G3" s="5" t="inlineStr">
        <is>
          <t>Cumulative %</t>
        </is>
      </c>
      <c r="H3" s="5" t="inlineStr">
        <is>
          <t>Action</t>
        </is>
      </c>
    </row>
    <row r="4" ht="44" customHeight="1">
      <c r="A4" s="6" t="n">
        <v>1</v>
      </c>
      <c r="B4" s="7" t="inlineStr">
        <is>
          <t>Mechanical</t>
        </is>
      </c>
      <c r="C4" s="36">
        <f>SUMIFS('2 · Inputs-Stoppages'!$E$4:$E$17,'2 · Inputs-Stoppages'!$G$4:$G$17,B4,'2 · Inputs-Stoppages'!$I$4:$I$17,"unplanned")</f>
        <v/>
      </c>
      <c r="D4" s="36">
        <f>COUNTIFS('2 · Inputs-Stoppages'!$G$4:$G$17,B4,'2 · Inputs-Stoppages'!$I$4:$I$17,"unplanned")</f>
        <v/>
      </c>
      <c r="E4" s="38">
        <f>C4/'2 · Inputs-Stoppages'!$E$21*100</f>
        <v/>
      </c>
      <c r="F4" s="38">
        <f>C4/'4 · Manual KPI'!$C$8*100</f>
        <v/>
      </c>
      <c r="G4" s="43">
        <f>SUM($C$4:C4)/'2 · Inputs-Stoppages'!$E$21*100</f>
        <v/>
      </c>
      <c r="H4" s="9" t="inlineStr">
        <is>
          <t>8 events, 187 min. Two repeat offenders dominate: "Open Dulpex – Guide Adjustment" (3 events, 54 min) and the 105-min synchronisation at start-up. Guide-setting SOP + a start-up checklist are the highest-value fixes.</t>
        </is>
      </c>
    </row>
    <row r="5" ht="44" customHeight="1">
      <c r="A5" s="6" t="n">
        <v>2</v>
      </c>
      <c r="B5" s="7" t="inlineStr">
        <is>
          <t>Startup</t>
        </is>
      </c>
      <c r="C5" s="36">
        <f>SUMIFS('2 · Inputs-Stoppages'!$E$4:$E$17,'2 · Inputs-Stoppages'!$G$4:$G$17,B5,'2 · Inputs-Stoppages'!$I$4:$I$17,"unplanned")</f>
        <v/>
      </c>
      <c r="D5" s="36">
        <f>COUNTIFS('2 · Inputs-Stoppages'!$G$4:$G$17,B5,'2 · Inputs-Stoppages'!$I$4:$I$17,"unplanned")</f>
        <v/>
      </c>
      <c r="E5" s="38">
        <f>C5/'2 · Inputs-Stoppages'!$E$21*100</f>
        <v/>
      </c>
      <c r="F5" s="38">
        <f>C5/'4 · Manual KPI'!$C$8*100</f>
        <v/>
      </c>
      <c r="G5" s="43">
        <f>SUM($C$4:C5)/'2 · Inputs-Stoppages'!$E$21*100</f>
        <v/>
      </c>
      <c r="H5" s="9" t="inlineStr">
        <is>
          <t>One 50-min machine-adjustment block right after the synchronisation stop. Together with stop #1 this means the line lost 155 of its first 160 minutes.</t>
        </is>
      </c>
    </row>
    <row r="6" ht="44" customHeight="1">
      <c r="A6" s="6" t="n">
        <v>3</v>
      </c>
      <c r="B6" s="7" t="inlineStr">
        <is>
          <t>Powder Shortage</t>
        </is>
      </c>
      <c r="C6" s="36">
        <f>SUMIFS('2 · Inputs-Stoppages'!$E$4:$E$17,'2 · Inputs-Stoppages'!$G$4:$G$17,B6,'2 · Inputs-Stoppages'!$I$4:$I$17,"unplanned")</f>
        <v/>
      </c>
      <c r="D6" s="36">
        <f>COUNTIFS('2 · Inputs-Stoppages'!$G$4:$G$17,B6,'2 · Inputs-Stoppages'!$I$4:$I$17,"unplanned")</f>
        <v/>
      </c>
      <c r="E6" s="38">
        <f>C6/'2 · Inputs-Stoppages'!$E$21*100</f>
        <v/>
      </c>
      <c r="F6" s="38">
        <f>C6/'4 · Manual KPI'!$C$8*100</f>
        <v/>
      </c>
      <c r="G6" s="43">
        <f>SUM($C$4:C6)/'2 · Inputs-Stoppages'!$E$21*100</f>
        <v/>
      </c>
      <c r="H6" s="9" t="inlineStr">
        <is>
          <t>2 × 4 min. Small, but it is a material-supply signal — worth trending.</t>
        </is>
      </c>
    </row>
    <row r="7" ht="44" customHeight="1">
      <c r="A7" s="6" t="n">
        <v>4</v>
      </c>
      <c r="B7" s="7" t="inlineStr">
        <is>
          <t>Packaging Material Shortage</t>
        </is>
      </c>
      <c r="C7" s="36">
        <f>SUMIFS('2 · Inputs-Stoppages'!$E$4:$E$17,'2 · Inputs-Stoppages'!$G$4:$G$17,B7,'2 · Inputs-Stoppages'!$I$4:$I$17,"unplanned")</f>
        <v/>
      </c>
      <c r="D7" s="36">
        <f>COUNTIFS('2 · Inputs-Stoppages'!$G$4:$G$17,B7,'2 · Inputs-Stoppages'!$I$4:$I$17,"unplanned")</f>
        <v/>
      </c>
      <c r="E7" s="38">
        <f>C7/'2 · Inputs-Stoppages'!$E$21*100</f>
        <v/>
      </c>
      <c r="F7" s="38">
        <f>C7/'4 · Manual KPI'!$C$8*100</f>
        <v/>
      </c>
      <c r="G7" s="43">
        <f>SUM($C$4:C7)/'2 · Inputs-Stoppages'!$E$21*100</f>
        <v/>
      </c>
      <c r="H7" s="9" t="inlineStr">
        <is>
          <t>5 min defective duplex + 1 min no pallet at the robot. Minor.</t>
        </is>
      </c>
    </row>
    <row r="8">
      <c r="B8" s="20" t="inlineStr">
        <is>
          <t>TOTAL unplanned</t>
        </is>
      </c>
      <c r="C8" s="21">
        <f>SUM(C4:C7)</f>
        <v/>
      </c>
      <c r="D8" s="21">
        <f>SUM(D4:D7)</f>
        <v/>
      </c>
    </row>
    <row r="10">
      <c r="B10" s="20" t="inlineStr">
        <is>
          <t>Planned stop (excluded from the Pareto above)</t>
        </is>
      </c>
      <c r="C10" s="36">
        <f>'2 · Inputs-Stoppages'!$E$20</f>
        <v/>
      </c>
      <c r="H10" s="4" t="inlineStr">
        <is>
          <t>Lunch break 12:00–12:30. Removed from PPT under ISO 22400, so it is not an availability loss.</t>
        </is>
      </c>
    </row>
    <row r="12">
      <c r="A12" s="15" t="inlineStr">
        <is>
          <t>Repeat-offender view: "Open Dulpex – Guide Adjustment" occurs 3× (8 + 42 + 4 = 54 min) and "Rollers Conveyor Cleaning" 2× (4 + 5 = 9 min) and "No powder" 2× (8 min). Recurrence, not duration, is what a corrective action should target.</t>
        </is>
      </c>
    </row>
  </sheetData>
  <mergeCells count="2">
    <mergeCell ref="A12:H1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5" customWidth="1" min="1" max="1"/>
    <col width="40" customWidth="1" min="2" max="2"/>
    <col width="14" customWidth="1" min="3" max="3"/>
    <col width="14" customWidth="1" min="4" max="4"/>
    <col width="12" customWidth="1" min="5" max="5"/>
    <col width="10" customWidth="1" min="6" max="6"/>
    <col width="62" customWidth="1" min="7" max="7"/>
  </cols>
  <sheetData>
    <row r="1" ht="30" customHeight="1">
      <c r="A1" s="1" t="inlineStr">
        <is>
          <t>Manual vs MES360 — measured 31-07-2026 against the live system</t>
        </is>
      </c>
    </row>
    <row r="2">
      <c r="A2" s="15" t="inlineStr">
        <is>
          <t>The MES360 column was MEASURED, not predicted: WO-2026-0007 was loaded into the live database and prisma/verify-wo-2026-0007.ts recomputed every KPI through the real KpiService/OEEService code path. Result: 10 of 18 comparable KPIs match exactly, and ALL 8 gaps trace to one root cause — G-01, planned stops left inside Planned Production Time. Re-run the script to refresh this column.</t>
        </is>
      </c>
    </row>
    <row r="4" ht="30" customHeight="1">
      <c r="A4" s="5" t="inlineStr">
        <is>
          <t>#</t>
        </is>
      </c>
      <c r="B4" s="5" t="inlineStr">
        <is>
          <t>KPI</t>
        </is>
      </c>
      <c r="C4" s="5" t="inlineStr">
        <is>
          <t>Manual
(this workbook)</t>
        </is>
      </c>
      <c r="D4" s="5" t="inlineStr">
        <is>
          <t>MES360
(measured)</t>
        </is>
      </c>
      <c r="E4" s="5" t="inlineStr">
        <is>
          <t>Gap</t>
        </is>
      </c>
      <c r="F4" s="5" t="inlineStr">
        <is>
          <t>Status</t>
        </is>
      </c>
      <c r="G4" s="5" t="inlineStr">
        <is>
          <t>Cause of the gap</t>
        </is>
      </c>
    </row>
    <row r="5">
      <c r="A5" s="6" t="n">
        <v>1</v>
      </c>
      <c r="B5" s="19" t="inlineStr">
        <is>
          <t>Scheduled window (min)</t>
        </is>
      </c>
      <c r="C5" s="21">
        <f>'4 · Manual KPI'!$C$6</f>
        <v/>
      </c>
      <c r="D5" s="10" t="n">
        <v>510</v>
      </c>
      <c r="E5" s="36">
        <f>IF(D5="","",D5-C5)</f>
        <v/>
      </c>
      <c r="F5" s="34">
        <f>IF(D5="","—",IF(ABS(D5-C5)&lt;0.05,"MATCH","GAP"))</f>
        <v/>
      </c>
      <c r="G5" s="9" t="inlineStr">
        <is>
          <t>Both read actualStart → actualEnd on the WO.</t>
        </is>
      </c>
    </row>
    <row r="6">
      <c r="A6" s="6" t="n">
        <v>2</v>
      </c>
      <c r="B6" s="19" t="inlineStr">
        <is>
          <t>Planned stop minutes</t>
        </is>
      </c>
      <c r="C6" s="21">
        <f>'2 · Inputs-Stoppages'!$E$20</f>
        <v/>
      </c>
      <c r="D6" s="10" t="n">
        <v>30</v>
      </c>
      <c r="E6" s="36">
        <f>IF(D6="","",D6-C6)</f>
        <v/>
      </c>
      <c r="F6" s="34">
        <f>IF(D6="","—",IF(ABS(D6-C6)&lt;0.05,"MATCH","GAP"))</f>
        <v/>
      </c>
      <c r="G6" s="9" t="inlineStr">
        <is>
          <t>System flags the break isPlanned=true, affectsOEE=false.</t>
        </is>
      </c>
    </row>
    <row r="7">
      <c r="A7" s="6" t="n">
        <v>3</v>
      </c>
      <c r="B7" s="19" t="inlineStr">
        <is>
          <t>Unplanned downtime (min)</t>
        </is>
      </c>
      <c r="C7" s="21">
        <f>'2 · Inputs-Stoppages'!$E$21</f>
        <v/>
      </c>
      <c r="D7" s="10" t="n">
        <v>251</v>
      </c>
      <c r="E7" s="36">
        <f>IF(D7="","",D7-C7)</f>
        <v/>
      </c>
      <c r="F7" s="34">
        <f>IF(D7="","—",IF(ABS(D7-C7)&lt;0.05,"MATCH","GAP"))</f>
        <v/>
      </c>
      <c r="G7" s="9" t="inlineStr">
        <is>
          <t>Sum of the 13 unplanned DowntimeEvent rows.</t>
        </is>
      </c>
    </row>
    <row r="8" ht="42" customHeight="1">
      <c r="A8" s="6" t="n">
        <v>4</v>
      </c>
      <c r="B8" s="19" t="inlineStr">
        <is>
          <t>Planned Production Time (min)</t>
        </is>
      </c>
      <c r="C8" s="21">
        <f>'4 · Manual KPI'!$C$8</f>
        <v/>
      </c>
      <c r="D8" s="10" t="n">
        <v>510</v>
      </c>
      <c r="E8" s="36">
        <f>IF(D8="","",D8-C8)</f>
        <v/>
      </c>
      <c r="F8" s="34">
        <f>IF(D8="","—",IF(ABS(D8-C8)&lt;0.05,"MATCH","GAP"))</f>
        <v/>
      </c>
      <c r="G8" s="9" t="inlineStr">
        <is>
          <t>★ ROOT CAUSE (G-01). kpi.service.woChild() sets PPT = the full actualStart→actualEnd span and does not subtract planned stops, so the 30-min break stays in the denominator. ISO 22400 requires 480. Every gap below flows from this one.</t>
        </is>
      </c>
    </row>
    <row r="9">
      <c r="A9" s="6" t="n">
        <v>5</v>
      </c>
      <c r="B9" s="19" t="inlineStr">
        <is>
          <t>Run time (min)</t>
        </is>
      </c>
      <c r="C9" s="21">
        <f>'4 · Manual KPI'!$C$10</f>
        <v/>
      </c>
      <c r="D9" s="10" t="n">
        <v>259</v>
      </c>
      <c r="E9" s="36">
        <f>IF(D9="","",D9-C9)</f>
        <v/>
      </c>
      <c r="F9" s="34">
        <f>IF(D9="","—",IF(ABS(D9-C9)&lt;0.05,"MATCH","GAP"))</f>
        <v/>
      </c>
      <c r="G9" s="9" t="inlineStr">
        <is>
          <t>Consequence of G-01: 510 − 251 instead of 480 − 251.</t>
        </is>
      </c>
    </row>
    <row r="10">
      <c r="A10" s="6" t="n">
        <v>6</v>
      </c>
      <c r="B10" s="19" t="inlineStr">
        <is>
          <t>Availability %</t>
        </is>
      </c>
      <c r="C10" s="27">
        <f>'4 · Manual KPI'!$C$26</f>
        <v/>
      </c>
      <c r="D10" s="44" t="n">
        <v>50.8</v>
      </c>
      <c r="E10" s="45">
        <f>IF(D10="","",D10-C10)</f>
        <v/>
      </c>
      <c r="F10" s="34">
        <f>IF(D10="","—",IF(ABS(D10-C10)&lt;0.05,"MATCH","GAP"))</f>
        <v/>
      </c>
      <c r="G10" s="9" t="inlineStr">
        <is>
          <t>Consequence of G-01: 259/510 instead of 229/480.</t>
        </is>
      </c>
    </row>
    <row r="11" ht="42" customHeight="1">
      <c r="A11" s="6" t="n">
        <v>7</v>
      </c>
      <c r="B11" s="19" t="inlineStr">
        <is>
          <t>Performance %</t>
        </is>
      </c>
      <c r="C11" s="27">
        <f>'4 · Manual KPI'!$C$27</f>
        <v/>
      </c>
      <c r="D11" s="44" t="n">
        <v>48.9</v>
      </c>
      <c r="E11" s="45">
        <f>IF(D11="","",D11-C11)</f>
        <v/>
      </c>
      <c r="F11" s="34">
        <f>IF(D11="","—",IF(ABS(D11-C11)&lt;0.05,"MATCH","GAP"))</f>
        <v/>
      </c>
      <c r="G11" s="9" t="inlineStr">
        <is>
          <t>Consequence of G-01 — the SAME ideal run of 126.6 min divided by the inflated 259 run minutes instead of 229. NOT clamped at 100%, because the WO carries the measured 6.67 s/carton cycle time.</t>
        </is>
      </c>
    </row>
    <row r="12">
      <c r="A12" s="6" t="n">
        <v>8</v>
      </c>
      <c r="B12" s="19" t="inlineStr">
        <is>
          <t>Quality %</t>
        </is>
      </c>
      <c r="C12" s="27">
        <f>'4 · Manual KPI'!$C$28</f>
        <v/>
      </c>
      <c r="D12" s="44" t="n">
        <v>98.3</v>
      </c>
      <c r="E12" s="45">
        <f>IF(D12="","",D12-C12)</f>
        <v/>
      </c>
      <c r="F12" s="34">
        <f>IF(D12="","—",IF(ABS(D12-C12)&lt;0.05,"MATCH","GAP"))</f>
        <v/>
      </c>
      <c r="G12" s="9" t="inlineStr">
        <is>
          <t>Matches — same good/total.</t>
        </is>
      </c>
    </row>
    <row r="13">
      <c r="A13" s="6" t="n">
        <v>9</v>
      </c>
      <c r="B13" s="19" t="inlineStr">
        <is>
          <t>OEE (schedule-based) %</t>
        </is>
      </c>
      <c r="C13" s="27">
        <f>'4 · Manual KPI'!$C$29</f>
        <v/>
      </c>
      <c r="D13" s="44" t="n">
        <v>24.4</v>
      </c>
      <c r="E13" s="45">
        <f>IF(D13="","",D13-C13)</f>
        <v/>
      </c>
      <c r="F13" s="34">
        <f>IF(D13="","—",IF(ABS(D13-C13)&lt;0.05,"MATCH","GAP"))</f>
        <v/>
      </c>
      <c r="G13" s="9" t="inlineStr">
        <is>
          <t>Product of the A and P gaps above.</t>
        </is>
      </c>
    </row>
    <row r="14" ht="42" customHeight="1">
      <c r="A14" s="6" t="n">
        <v>10</v>
      </c>
      <c r="B14" s="19" t="inlineStr">
        <is>
          <t>OEE (time-based / AT-OEE) %</t>
        </is>
      </c>
      <c r="C14" s="27">
        <f>'4 · Manual KPI'!$C$31</f>
        <v/>
      </c>
      <c r="D14" s="44" t="n">
        <v>24.4</v>
      </c>
      <c r="E14" s="45">
        <f>IF(D14="","",D14-C14)</f>
        <v/>
      </c>
      <c r="F14" s="34">
        <f>IF(D14="","—",IF(ABS(D14-C14)&lt;0.05,"MATCH","GAP"))</f>
        <v/>
      </c>
      <c r="G14" s="9" t="inlineStr">
        <is>
          <t>AT-OEE is meant to be plan-independent, but it reuses P — so it inherits the G-01 distortion through the Performance term. Worth noting: its availability term (50.8%) is correct.</t>
        </is>
      </c>
    </row>
    <row r="15">
      <c r="A15" s="6" t="n">
        <v>11</v>
      </c>
      <c r="B15" s="19" t="inlineStr">
        <is>
          <t>First-Pass Yield %</t>
        </is>
      </c>
      <c r="C15" s="27">
        <f>'4 · Manual KPI'!$C$32</f>
        <v/>
      </c>
      <c r="D15" s="44" t="n">
        <v>98.33</v>
      </c>
      <c r="E15" s="45">
        <f>IF(D15="","",D15-C15)</f>
        <v/>
      </c>
      <c r="F15" s="34">
        <f>IF(D15="","—",IF(ABS(D15-C15)&lt;0.05,"MATCH","GAP"))</f>
        <v/>
      </c>
      <c r="G15" s="9" t="inlineStr">
        <is>
          <t>Matches exactly.</t>
        </is>
      </c>
    </row>
    <row r="16">
      <c r="A16" s="6" t="n">
        <v>12</v>
      </c>
      <c r="B16" s="19" t="inlineStr">
        <is>
          <t>Scrap rate %</t>
        </is>
      </c>
      <c r="C16" s="27">
        <f>'4 · Manual KPI'!$C$33</f>
        <v/>
      </c>
      <c r="D16" s="44" t="n">
        <v>1.67</v>
      </c>
      <c r="E16" s="45">
        <f>IF(D16="","",D16-C16)</f>
        <v/>
      </c>
      <c r="F16" s="34">
        <f>IF(D16="","—",IF(ABS(D16-C16)&lt;0.05,"MATCH","GAP"))</f>
        <v/>
      </c>
      <c r="G16" s="9" t="inlineStr">
        <is>
          <t>Matches exactly.</t>
        </is>
      </c>
    </row>
    <row r="17">
      <c r="A17" s="6" t="n">
        <v>13</v>
      </c>
      <c r="B17" s="19" t="inlineStr">
        <is>
          <t>Good quantity (carton)</t>
        </is>
      </c>
      <c r="C17" s="21">
        <f>'4 · Manual KPI'!$C$13</f>
        <v/>
      </c>
      <c r="D17" s="10" t="n">
        <v>1120</v>
      </c>
      <c r="E17" s="36">
        <f>IF(D17="","",D17-C17)</f>
        <v/>
      </c>
      <c r="F17" s="34">
        <f>IF(D17="","—",IF(ABS(D17-C17)&lt;0.05,"MATCH","GAP"))</f>
        <v/>
      </c>
      <c r="G17" s="9" t="inlineStr">
        <is>
          <t>Matches exactly.</t>
        </is>
      </c>
    </row>
    <row r="18">
      <c r="A18" s="6" t="n">
        <v>14</v>
      </c>
      <c r="B18" s="19" t="inlineStr">
        <is>
          <t>Scrap quantity (carton)</t>
        </is>
      </c>
      <c r="C18" s="21">
        <f>'4 · Manual KPI'!$C$14</f>
        <v/>
      </c>
      <c r="D18" s="10" t="n">
        <v>19</v>
      </c>
      <c r="E18" s="36">
        <f>IF(D18="","",D18-C18)</f>
        <v/>
      </c>
      <c r="F18" s="34">
        <f>IF(D18="","—",IF(ABS(D18-C18)&lt;0.05,"MATCH","GAP"))</f>
        <v/>
      </c>
      <c r="G18" s="9" t="inlineStr">
        <is>
          <t>Matches exactly.</t>
        </is>
      </c>
    </row>
    <row r="19">
      <c r="A19" s="6" t="n">
        <v>15</v>
      </c>
      <c r="B19" s="19" t="inlineStr">
        <is>
          <t>Throughput while running (ctn/h)</t>
        </is>
      </c>
      <c r="C19" s="21">
        <f>'4 · Manual KPI'!$C$36</f>
        <v/>
      </c>
      <c r="D19" s="10" t="n">
        <v>259.46</v>
      </c>
      <c r="E19" s="36">
        <f>IF(D19="","",D19-C19)</f>
        <v/>
      </c>
      <c r="F19" s="34">
        <f>IF(D19="","—",IF(ABS(D19-C19)&lt;0.05,"MATCH","GAP"))</f>
        <v/>
      </c>
      <c r="G19" s="9" t="inlineStr">
        <is>
          <t>Consequence of G-01 — 1120/259 instead of 1120/229.</t>
        </is>
      </c>
    </row>
    <row r="20" ht="42" customHeight="1">
      <c r="A20" s="6" t="n">
        <v>16</v>
      </c>
      <c r="B20" s="19" t="inlineStr">
        <is>
          <t>MTBF (min)</t>
        </is>
      </c>
      <c r="C20" s="26">
        <f>'4 · Manual KPI'!$C$39</f>
        <v/>
      </c>
      <c r="D20" s="46" t="n">
        <v>19.92</v>
      </c>
      <c r="E20" s="37">
        <f>IF(D20="","",D20-C20)</f>
        <v/>
      </c>
      <c r="F20" s="34">
        <f>IF(D20="","—",IF(ABS(D20-C20)&lt;0.05,"MATCH","GAP"))</f>
        <v/>
      </c>
      <c r="G20" s="9" t="inlineStr">
        <is>
          <t>Consequence of G-01 — run time 259/13 instead of 229/13. (The maintenance module computes MTBF from MaintenanceWO failures, a different definition by design.)</t>
        </is>
      </c>
    </row>
    <row r="21">
      <c r="A21" s="6" t="n">
        <v>17</v>
      </c>
      <c r="B21" s="19" t="inlineStr">
        <is>
          <t>MTTR (min)</t>
        </is>
      </c>
      <c r="C21" s="26">
        <f>'4 · Manual KPI'!$C$40</f>
        <v/>
      </c>
      <c r="D21" s="46" t="n">
        <v>19.31</v>
      </c>
      <c r="E21" s="37">
        <f>IF(D21="","",D21-C21)</f>
        <v/>
      </c>
      <c r="F21" s="34">
        <f>IF(D21="","—",IF(ABS(D21-C21)&lt;0.05,"MATCH","GAP"))</f>
        <v/>
      </c>
      <c r="G21" s="9" t="inlineStr">
        <is>
          <t>Matches — independent of PPT.</t>
        </is>
      </c>
    </row>
    <row r="22" ht="42" customHeight="1">
      <c r="A22" s="6" t="n">
        <v>18</v>
      </c>
      <c r="B22" s="19" t="inlineStr">
        <is>
          <t>Material yield %</t>
        </is>
      </c>
      <c r="C22" s="27">
        <f>'4 · Manual KPI'!$C$35</f>
        <v/>
      </c>
      <c r="D22" s="44" t="n">
        <v>97.81999999999999</v>
      </c>
      <c r="E22" s="45">
        <f>IF(D22="","",D22-C22)</f>
        <v/>
      </c>
      <c r="F22" s="34">
        <f>IF(D22="","—",IF(ABS(D22-C22)&lt;0.05,"MATCH","GAP"))</f>
        <v/>
      </c>
      <c r="G22" s="9" t="inlineStr">
        <is>
          <t>Matches — read from the MaterialConsumption variance (13 440 planned vs 13 740 actual kg).</t>
        </is>
      </c>
    </row>
    <row r="23" ht="42" customHeight="1">
      <c r="A23" s="6" t="n">
        <v>19</v>
      </c>
      <c r="B23" s="19" t="inlineStr">
        <is>
          <t>Energy ratio (kWh / carton)</t>
        </is>
      </c>
      <c r="C23" s="23" t="n"/>
      <c r="D23" s="14" t="n"/>
      <c r="E23" s="42">
        <f>IF(D23="","",D23-C23)</f>
        <v/>
      </c>
      <c r="F23" s="34">
        <f>IF(D23="","—",IF(ABS(D23-C23)&lt;0.05,"MATCH","GAP"))</f>
        <v/>
      </c>
      <c r="G23" s="9" t="inlineStr">
        <is>
          <t>No value: the client's manual log carries no meter readings, so no EnergyReading rows are tagged to this order. The endpoint returns an empty set correctly; the KPI populates once the line meters stream against a live work order.</t>
        </is>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52" customWidth="1" min="3" max="3"/>
    <col width="34" customWidth="1" min="4" max="4"/>
    <col width="42" customWidth="1" min="5" max="5"/>
    <col width="12" customWidth="1" min="6" max="6"/>
  </cols>
  <sheetData>
    <row r="1" ht="30" customHeight="1">
      <c r="A1" s="1" t="inlineStr">
        <is>
          <t>Contradictions inside the client's own data — needs an answer before Sunday</t>
        </is>
      </c>
    </row>
    <row r="3" ht="30" customHeight="1">
      <c r="A3" s="5" t="inlineStr">
        <is>
          <t>#</t>
        </is>
      </c>
      <c r="B3" s="5" t="inlineStr">
        <is>
          <t>Where</t>
        </is>
      </c>
      <c r="C3" s="5" t="inlineStr">
        <is>
          <t>What was found</t>
        </is>
      </c>
      <c r="D3" s="5" t="inlineStr">
        <is>
          <t>Impact on the KPIs</t>
        </is>
      </c>
      <c r="E3" s="5" t="inlineStr">
        <is>
          <t>Question for the client</t>
        </is>
      </c>
      <c r="F3" s="5" t="inlineStr">
        <is>
          <t>Severity</t>
        </is>
      </c>
    </row>
    <row r="4" ht="58" customHeight="1">
      <c r="A4" s="34" t="n">
        <v>1</v>
      </c>
      <c r="B4" s="35" t="inlineStr">
        <is>
          <t>Pallet count</t>
        </is>
      </c>
      <c r="C4" s="19" t="inlineStr">
        <is>
          <t>1120 outer cartons ÷ 32 cartons/pallet = 35 pallets, but 28 were logged. 28 pallets × 32 = 896 cartons — 224 cartons short. The logged numbers only reconcile at 40 cartons/pallet.</t>
        </is>
      </c>
      <c r="D4" s="19" t="inlineStr">
        <is>
          <t>Pallet-level output, the M4/M5 machine KPIs and the pallet/stretch-film BOM consumption are all affected. Carton- and inner-level KPIs are unaffected.</t>
        </is>
      </c>
      <c r="E4" s="19" t="inlineStr">
        <is>
          <t>Is the Violet 6×2 Kg pallet pattern 32 or 40 cartons? If 32, were 7 pallets left part-built at shift end (work in progress)?</t>
        </is>
      </c>
      <c r="F4" s="47" t="inlineStr">
        <is>
          <t>HIGH</t>
        </is>
      </c>
    </row>
    <row r="5" ht="58" customHeight="1">
      <c r="A5" s="34" t="n">
        <v>2</v>
      </c>
      <c r="B5" s="35" t="inlineStr">
        <is>
          <t>Pallet count — master data</t>
        </is>
      </c>
      <c r="C5" s="19" t="inlineStr">
        <is>
          <t>BB Item (3).xlsx says 32/pallet for 10310064, and the BOM agrees (1 ÷ 0.03126154 = 32.0). But seed-ncc-master.ts hard-codes 50 for every SKU, while seed-bb-master.ts reads the file correctly.</t>
        </is>
      </c>
      <c r="D5" s="19" t="inlineStr">
        <is>
          <t>Whichever seed last ran decides the number the system uses. If seed-ncc-master ran last, the system believes 50 cartons/pallet — wrong against the client's own master file.</t>
        </is>
      </c>
      <c r="E5" s="19" t="inlineStr">
        <is>
          <t>Confirm 32, then re-run seed-bb-master so the file value wins.</t>
        </is>
      </c>
      <c r="F5" s="47" t="inlineStr">
        <is>
          <t>HIGH</t>
        </is>
      </c>
    </row>
    <row r="6" ht="58" customHeight="1">
      <c r="A6" s="34" t="n">
        <v>3</v>
      </c>
      <c r="B6" s="35" t="inlineStr">
        <is>
          <t>Powder waste</t>
        </is>
      </c>
      <c r="C6" s="19" t="inlineStr">
        <is>
          <t>300 kg logged. Scrapped inner packs account for 86 × 2 kg = 172 kg; scrapped outer cartons for 19 × 12 kg = 228 kg. The three figures cannot all be independent — 228 + 172 already exceeds 300.</t>
        </is>
      </c>
      <c r="D6" s="19" t="inlineStr">
        <is>
          <t>Material yield is 97.8% if the 300 kg is the complete powder loss, but double-counted if the scrapped units are also inside it. OEE Quality is unaffected either way (it is unit-based).</t>
        </is>
      </c>
      <c r="E6" s="19" t="inlineStr">
        <is>
          <t>Is the 300 kg the TOTAL powder loss (including powder inside scrapped packs), or only spillage on top of them?</t>
        </is>
      </c>
      <c r="F6" s="48" t="inlineStr">
        <is>
          <t>MEDIUM</t>
        </is>
      </c>
    </row>
    <row r="7" ht="65" customHeight="1">
      <c r="A7" s="34" t="n">
        <v>4</v>
      </c>
      <c r="B7" s="35" t="inlineStr">
        <is>
          <t>Stoppage attribution</t>
        </is>
      </c>
      <c r="C7" s="19" t="inlineStr">
        <is>
          <t>All 14 rows name "Big Betti", yet three descriptions point elsewhere: "No Pallet at Euro-Pack Robot" (M4), "Packaging defected – Dulpex" (inner-carton feed) and the glue events (both M1 and M3 have glue systems).</t>
        </is>
      </c>
      <c r="D7" s="19" t="inlineStr">
        <is>
          <t>Line OEE is correct either way. Per-machine Pareto and MTBF attribution are not — every minute currently lands on M1.</t>
        </is>
      </c>
      <c r="E7" s="19" t="inlineStr">
        <is>
          <t>Should stoppages be logged against the machine that FAILED, or against the line? MES360 supports both; per-machine is far more useful for maintenance.</t>
        </is>
      </c>
      <c r="F7" s="48" t="inlineStr">
        <is>
          <t>MEDIUM</t>
        </is>
      </c>
    </row>
    <row r="8" ht="58" customHeight="1">
      <c r="A8" s="34" t="n">
        <v>5</v>
      </c>
      <c r="B8" s="35" t="inlineStr">
        <is>
          <t>Stop #1 at 08:00</t>
        </is>
      </c>
      <c r="C8" s="19" t="inlineStr">
        <is>
          <t>The first stoppage starts at exactly the production start time and runs 105 min. Combined with stop #2 (50 min), the line lost 155 of its first 160 minutes.</t>
        </is>
      </c>
      <c r="D8" s="19" t="inlineStr">
        <is>
          <t>Availability drops from a would-be 79% to 47.7%. Whether this is production time at all is a definition question.</t>
        </is>
      </c>
      <c r="E8" s="19" t="inlineStr">
        <is>
          <t>Should start-up synchronisation be treated as production time (availability loss), or as planned set-up excluded from PPT like a changeover?</t>
        </is>
      </c>
      <c r="F8" s="48" t="inlineStr">
        <is>
          <t>MEDIUM</t>
        </is>
      </c>
    </row>
    <row r="9" ht="58" customHeight="1">
      <c r="A9" s="34" t="n">
        <v>6</v>
      </c>
      <c r="B9" s="35" t="inlineStr">
        <is>
          <t>Cycle times in MES360</t>
        </is>
      </c>
      <c r="C9" s="19" t="inlineStr">
        <is>
          <t>MachineCycleTime for this SKU is seeded at 31 s/inner (M1) and 25 s/carton (M3). The client's rate test measures 1.20 s/inner and 6.67 s/carton — 25.8× and 3.75× faster.</t>
        </is>
      </c>
      <c r="D9" s="19" t="inlineStr">
        <is>
          <t>Performance is computed against a denominator that is far too slow, so it saturates at the 100% clamp and OEE collapses to A × Q. This is the single largest source of system-vs-manual gap.</t>
        </is>
      </c>
      <c r="E9" s="19" t="inlineStr">
        <is>
          <t>Confirm the measured rates are the ones to load as ideal cycle times (this is what the rate file appears to be for).</t>
        </is>
      </c>
      <c r="F9" s="47" t="inlineStr">
        <is>
          <t>HIGH</t>
        </is>
      </c>
    </row>
    <row r="10" ht="58" customHeight="1">
      <c r="A10" s="34" t="n">
        <v>7</v>
      </c>
      <c r="B10" s="35" t="inlineStr">
        <is>
          <t>Rate test vs pallet math</t>
        </is>
      </c>
      <c r="C10" s="19" t="inlineStr">
        <is>
          <t>The rate file's own header says "32 Cartons per Pallet", which contradicts the 40 implied by the production log on the same day.</t>
        </is>
      </c>
      <c r="D10" s="19" t="inlineStr">
        <is>
          <t>Same as row 1 — this is corroborating evidence that 32 is the intended pattern and the 28-pallet figure is the outlier.</t>
        </is>
      </c>
      <c r="E10" s="19" t="inlineStr">
        <is>
          <t>Included in question 1.</t>
        </is>
      </c>
      <c r="F10" s="49" t="inlineStr">
        <is>
          <t>INFO</t>
        </is>
      </c>
    </row>
    <row r="11" ht="58" customHeight="1">
      <c r="A11" s="34" t="n">
        <v>8</v>
      </c>
      <c r="B11" s="35" t="inlineStr">
        <is>
          <t>Micro-stops</t>
        </is>
      </c>
      <c r="C11" s="19" t="inlineStr">
        <is>
          <t>5 of the 13 unplanned stops are under 5 minutes (19 min total). ISO 22400 classes sub-5-minute interruptions as a PERFORMANCE loss, not an availability loss.</t>
        </is>
      </c>
      <c r="D11" s="19" t="inlineStr">
        <is>
          <t>Moving them would raise Availability to 50.0% and lower Performance correspondingly. OEE is almost unchanged — it only shifts which bucket gets the blame.</t>
        </is>
      </c>
      <c r="E11" s="19" t="inlineStr">
        <is>
          <t>Keep logging them as downtime (recommended — it is more honest and MES360 has a MICRO_STOP reason code for exactly this), or reclassify?</t>
        </is>
      </c>
      <c r="F11" s="49" t="inlineStr">
        <is>
          <t>LOW</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2026-07-31T13:37:22Z</dcterms:created>
  <dcterms:modified xmlns:dcterms="http://purl.org/dc/terms/" xmlns:xsi="http://www.w3.org/2001/XMLSchema-instance" xsi:type="dcterms:W3CDTF">2026-07-31T13:37:22Z</dcterms:modified>
</cp:coreProperties>
</file>